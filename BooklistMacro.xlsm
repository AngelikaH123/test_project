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d7c82777aeef28/Documents/"/>
    </mc:Choice>
  </mc:AlternateContent>
  <xr:revisionPtr revIDLastSave="29" documentId="8_{5A085651-3F64-4CBE-AA86-43C1721AF4A8}" xr6:coauthVersionLast="47" xr6:coauthVersionMax="47" xr10:uidLastSave="{383BBCF9-7026-46A5-9F70-C6826ABD5357}"/>
  <bookViews>
    <workbookView minimized="1" xWindow="9510" yWindow="4020" windowWidth="12000" windowHeight="9620" activeTab="5" xr2:uid="{441E11C9-7692-4E35-BCF0-0F65DD1E848D}"/>
  </bookViews>
  <sheets>
    <sheet name="books" sheetId="1" r:id="rId1"/>
    <sheet name="Stats" sheetId="5" r:id="rId2"/>
    <sheet name="year" sheetId="2" r:id="rId3"/>
    <sheet name="rating" sheetId="3" r:id="rId4"/>
    <sheet name="notes" sheetId="4" r:id="rId5"/>
    <sheet name="sortable" sheetId="6" r:id="rId6"/>
  </sheets>
  <definedNames>
    <definedName name="Kff">notes!#REF!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5" l="1"/>
  <c r="A25" i="5"/>
  <c r="O2" i="5" a="1"/>
  <c r="O2" i="5" s="1"/>
  <c r="O3" i="5" a="1"/>
  <c r="O3" i="5"/>
  <c r="O4" i="5" a="1"/>
  <c r="O4" i="5"/>
  <c r="O5" i="5" a="1"/>
  <c r="O5" i="5" s="1"/>
  <c r="O6" i="5" a="1"/>
  <c r="O6" i="5" s="1"/>
  <c r="O7" i="5" a="1"/>
  <c r="O7" i="5"/>
  <c r="O8" i="5" a="1"/>
  <c r="O8" i="5"/>
  <c r="O9" i="5" a="1"/>
  <c r="O9" i="5" s="1"/>
  <c r="O10" i="5" a="1"/>
  <c r="O10" i="5" s="1"/>
  <c r="O11" i="5" a="1"/>
  <c r="O11" i="5" s="1"/>
  <c r="O12" i="5" a="1"/>
  <c r="O12" i="5"/>
  <c r="O13" i="5" a="1"/>
  <c r="O13" i="5"/>
  <c r="O14" i="5" a="1"/>
  <c r="O14" i="5" s="1"/>
  <c r="O15" i="5" a="1"/>
  <c r="O15" i="5"/>
  <c r="O16" i="5" a="1"/>
  <c r="O16" i="5"/>
  <c r="O17" i="5" a="1"/>
  <c r="O17" i="5"/>
  <c r="O18" i="5" a="1"/>
  <c r="O18" i="5" s="1"/>
  <c r="O19" i="5" a="1"/>
  <c r="O19" i="5" s="1"/>
  <c r="O20" i="5" a="1"/>
  <c r="O20" i="5"/>
  <c r="O21" i="5" a="1"/>
  <c r="O21" i="5"/>
  <c r="O22" i="5" a="1"/>
  <c r="O22" i="5" s="1"/>
  <c r="O23" i="5" a="1"/>
  <c r="O23" i="5"/>
  <c r="O24" i="5" a="1"/>
  <c r="O24" i="5"/>
  <c r="O25" i="5" a="1"/>
  <c r="O25" i="5"/>
  <c r="O26" i="5" a="1"/>
  <c r="O26" i="5" s="1"/>
  <c r="O27" i="5" a="1"/>
  <c r="O27" i="5"/>
  <c r="O28" i="5" a="1"/>
  <c r="O28" i="5"/>
  <c r="O29" i="5" a="1"/>
  <c r="O29" i="5" s="1"/>
  <c r="O30" i="5" a="1"/>
  <c r="O30" i="5" s="1"/>
  <c r="O31" i="5" a="1"/>
  <c r="O31" i="5"/>
  <c r="O32" i="5" a="1"/>
  <c r="O32" i="5"/>
  <c r="O33" i="5" a="1"/>
  <c r="O33" i="5"/>
  <c r="O34" i="5" a="1"/>
  <c r="O34" i="5" s="1"/>
  <c r="O35" i="5" a="1"/>
  <c r="O35" i="5"/>
  <c r="O36" i="5" a="1"/>
  <c r="O36" i="5"/>
  <c r="O37" i="5" a="1"/>
  <c r="O37" i="5" s="1"/>
  <c r="O38" i="5" a="1"/>
  <c r="O38" i="5" s="1"/>
  <c r="O39" i="5" a="1"/>
  <c r="O39" i="5" s="1"/>
  <c r="O40" i="5" a="1"/>
  <c r="O40" i="5"/>
  <c r="O41" i="5" a="1"/>
  <c r="O41" i="5"/>
  <c r="O42" i="5" a="1"/>
  <c r="O42" i="5" s="1"/>
  <c r="O43" i="5" a="1"/>
  <c r="O43" i="5" s="1"/>
  <c r="O44" i="5" a="1"/>
  <c r="O44" i="5"/>
  <c r="O45" i="5" a="1"/>
  <c r="O45" i="5"/>
  <c r="O46" i="5" a="1"/>
  <c r="O46" i="5" s="1"/>
  <c r="O47" i="5" a="1"/>
  <c r="O47" i="5"/>
  <c r="O48" i="5" a="1"/>
  <c r="O48" i="5"/>
  <c r="O49" i="5" a="1"/>
  <c r="O49" i="5" s="1"/>
  <c r="O50" i="5" a="1"/>
  <c r="O50" i="5" s="1"/>
  <c r="O51" i="5" a="1"/>
  <c r="O51" i="5" s="1"/>
  <c r="O52" i="5" a="1"/>
  <c r="O52" i="5" s="1"/>
  <c r="O53" i="5" a="1"/>
  <c r="O53" i="5"/>
  <c r="O54" i="5" a="1"/>
  <c r="O54" i="5" s="1"/>
  <c r="O55" i="5" a="1"/>
  <c r="O55" i="5" s="1"/>
  <c r="O56" i="5" a="1"/>
  <c r="O56" i="5"/>
  <c r="O57" i="5" a="1"/>
  <c r="O57" i="5"/>
  <c r="O58" i="5" a="1"/>
  <c r="O58" i="5" s="1"/>
  <c r="O59" i="5" a="1"/>
  <c r="O59" i="5"/>
  <c r="O60" i="5" a="1"/>
  <c r="O60" i="5" s="1"/>
  <c r="O61" i="5" a="1"/>
  <c r="O61" i="5" s="1"/>
  <c r="O62" i="5" a="1"/>
  <c r="O62" i="5" s="1"/>
  <c r="O63" i="5" a="1"/>
  <c r="O63" i="5" s="1"/>
  <c r="O64" i="5" a="1"/>
  <c r="O64" i="5"/>
  <c r="O65" i="5" a="1"/>
  <c r="O65" i="5"/>
  <c r="O66" i="5" a="1"/>
  <c r="O66" i="5" s="1"/>
  <c r="O67" i="5" a="1"/>
  <c r="O67" i="5"/>
  <c r="O68" i="5" a="1"/>
  <c r="O68" i="5"/>
  <c r="O69" i="5" a="1"/>
  <c r="O69" i="5" s="1"/>
  <c r="O70" i="5" a="1"/>
  <c r="O70" i="5" s="1"/>
  <c r="O71" i="5" a="1"/>
  <c r="O71" i="5" s="1"/>
  <c r="O72" i="5" a="1"/>
  <c r="O72" i="5" s="1"/>
  <c r="O73" i="5" a="1"/>
  <c r="O73" i="5" s="1"/>
  <c r="O74" i="5" a="1"/>
  <c r="O74" i="5" s="1"/>
  <c r="O75" i="5" a="1"/>
  <c r="O75" i="5" s="1"/>
  <c r="O76" i="5" a="1"/>
  <c r="O76" i="5"/>
  <c r="O77" i="5" a="1"/>
  <c r="O77" i="5" s="1"/>
  <c r="O78" i="5" a="1"/>
  <c r="O78" i="5" s="1"/>
  <c r="O79" i="5" a="1"/>
  <c r="O79" i="5"/>
  <c r="O80" i="5" a="1"/>
  <c r="O80" i="5" s="1"/>
  <c r="O81" i="5" a="1"/>
  <c r="O81" i="5" s="1"/>
  <c r="O82" i="5" a="1"/>
  <c r="O82" i="5" s="1"/>
  <c r="O83" i="5" a="1"/>
  <c r="O83" i="5" s="1"/>
  <c r="O84" i="5" a="1"/>
  <c r="O84" i="5" s="1"/>
  <c r="O85" i="5" a="1"/>
  <c r="O85" i="5"/>
  <c r="O86" i="5" a="1"/>
  <c r="O86" i="5" s="1"/>
  <c r="O87" i="5" a="1"/>
  <c r="O87" i="5" s="1"/>
  <c r="O88" i="5" a="1"/>
  <c r="O88" i="5"/>
  <c r="O89" i="5" a="1"/>
  <c r="O89" i="5" s="1"/>
  <c r="O90" i="5" a="1"/>
  <c r="O90" i="5" s="1"/>
  <c r="O91" i="5" a="1"/>
  <c r="O91" i="5"/>
  <c r="O92" i="5" a="1"/>
  <c r="O92" i="5" s="1"/>
  <c r="O93" i="5" a="1"/>
  <c r="O93" i="5" s="1"/>
  <c r="O94" i="5" a="1"/>
  <c r="O94" i="5" s="1"/>
  <c r="O95" i="5" a="1"/>
  <c r="O95" i="5"/>
  <c r="O96" i="5" a="1"/>
  <c r="O96" i="5"/>
  <c r="O97" i="5" a="1"/>
  <c r="O97" i="5"/>
  <c r="O98" i="5" a="1"/>
  <c r="O98" i="5" s="1"/>
  <c r="O99" i="5" a="1"/>
  <c r="O99" i="5"/>
  <c r="O100" i="5" a="1"/>
  <c r="O100" i="5" s="1"/>
  <c r="O101" i="5" a="1"/>
  <c r="O101" i="5" s="1"/>
  <c r="O102" i="5" a="1"/>
  <c r="O102" i="5" s="1"/>
  <c r="O103" i="5" a="1"/>
  <c r="O103" i="5"/>
  <c r="O104" i="5" a="1"/>
  <c r="O104" i="5" s="1"/>
  <c r="O105" i="5" a="1"/>
  <c r="O105" i="5" s="1"/>
  <c r="O106" i="5" a="1"/>
  <c r="O106" i="5" s="1"/>
  <c r="O107" i="5" a="1"/>
  <c r="O107" i="5" s="1"/>
  <c r="O108" i="5" a="1"/>
  <c r="O108" i="5"/>
  <c r="O109" i="5" a="1"/>
  <c r="O109" i="5" s="1"/>
  <c r="O110" i="5" a="1"/>
  <c r="O110" i="5" s="1"/>
  <c r="O111" i="5" a="1"/>
  <c r="O111" i="5"/>
  <c r="O112" i="5" a="1"/>
  <c r="O112" i="5"/>
  <c r="O113" i="5" a="1"/>
  <c r="O113" i="5"/>
  <c r="O114" i="5" a="1"/>
  <c r="O114" i="5" s="1"/>
  <c r="O115" i="5" a="1"/>
  <c r="O115" i="5" s="1"/>
  <c r="O116" i="5" a="1"/>
  <c r="O116" i="5" s="1"/>
  <c r="O117" i="5" a="1"/>
  <c r="O117" i="5"/>
  <c r="O118" i="5" a="1"/>
  <c r="O118" i="5" s="1"/>
  <c r="O119" i="5" a="1"/>
  <c r="O119" i="5"/>
  <c r="O120" i="5" a="1"/>
  <c r="O120" i="5"/>
  <c r="O121" i="5" a="1"/>
  <c r="O121" i="5"/>
  <c r="O122" i="5" a="1"/>
  <c r="O122" i="5" s="1"/>
  <c r="O123" i="5" a="1"/>
  <c r="O123" i="5" s="1"/>
  <c r="O124" i="5" a="1"/>
  <c r="O124" i="5" s="1"/>
  <c r="O125" i="5" a="1"/>
  <c r="O125" i="5" s="1"/>
  <c r="O126" i="5" a="1"/>
  <c r="O126" i="5" s="1"/>
  <c r="O127" i="5" a="1"/>
  <c r="O127" i="5"/>
  <c r="O128" i="5" a="1"/>
  <c r="O128" i="5"/>
  <c r="O129" i="5" a="1"/>
  <c r="O129" i="5"/>
  <c r="O130" i="5" a="1"/>
  <c r="O130" i="5" s="1"/>
  <c r="O131" i="5" a="1"/>
  <c r="O131" i="5"/>
  <c r="O132" i="5" a="1"/>
  <c r="O132" i="5"/>
  <c r="O133" i="5" a="1"/>
  <c r="O133" i="5" s="1"/>
  <c r="O134" i="5" a="1"/>
  <c r="O134" i="5" s="1"/>
  <c r="O135" i="5" a="1"/>
  <c r="O135" i="5"/>
  <c r="O136" i="5" a="1"/>
  <c r="O136" i="5" s="1"/>
  <c r="O137" i="5" a="1"/>
  <c r="O137" i="5"/>
  <c r="O138" i="5" a="1"/>
  <c r="O138" i="5" s="1"/>
  <c r="O139" i="5" a="1"/>
  <c r="O139" i="5" s="1"/>
  <c r="O140" i="5" a="1"/>
  <c r="O140" i="5"/>
  <c r="O141" i="5" a="1"/>
  <c r="O141" i="5" s="1"/>
  <c r="O142" i="5" a="1"/>
  <c r="O142" i="5" s="1"/>
  <c r="O143" i="5" a="1"/>
  <c r="O143" i="5"/>
  <c r="O144" i="5" a="1"/>
  <c r="O144" i="5"/>
  <c r="O145" i="5" a="1"/>
  <c r="O145" i="5"/>
  <c r="O146" i="5" a="1"/>
  <c r="O146" i="5" s="1"/>
  <c r="O147" i="5" a="1"/>
  <c r="O147" i="5" s="1"/>
  <c r="O148" i="5" a="1"/>
  <c r="O148" i="5" s="1"/>
  <c r="O149" i="5" a="1"/>
  <c r="O149" i="5"/>
  <c r="O150" i="5" a="1"/>
  <c r="O150" i="5" s="1"/>
  <c r="O151" i="5" a="1"/>
  <c r="O151" i="5"/>
  <c r="O152" i="5" a="1"/>
  <c r="O152" i="5"/>
  <c r="O153" i="5" a="1"/>
  <c r="O153" i="5"/>
  <c r="O154" i="5" a="1"/>
  <c r="O154" i="5" s="1"/>
  <c r="O155" i="5" a="1"/>
  <c r="O155" i="5" s="1"/>
  <c r="O156" i="5" a="1"/>
  <c r="O156" i="5" s="1"/>
  <c r="O157" i="5" a="1"/>
  <c r="O157" i="5" s="1"/>
  <c r="O158" i="5" a="1"/>
  <c r="O158" i="5" s="1"/>
  <c r="O159" i="5" a="1"/>
  <c r="O159" i="5"/>
  <c r="O160" i="5" a="1"/>
  <c r="O160" i="5"/>
  <c r="O161" i="5" a="1"/>
  <c r="O161" i="5"/>
  <c r="O162" i="5" a="1"/>
  <c r="O162" i="5" s="1"/>
  <c r="O163" i="5" a="1"/>
  <c r="O163" i="5"/>
  <c r="O164" i="5" a="1"/>
  <c r="O164" i="5" s="1"/>
  <c r="O165" i="5" a="1"/>
  <c r="O165" i="5" s="1"/>
  <c r="O166" i="5" a="1"/>
  <c r="O166" i="5" s="1"/>
  <c r="O167" i="5" a="1"/>
  <c r="O167" i="5"/>
  <c r="O168" i="5" a="1"/>
  <c r="O168" i="5"/>
  <c r="O169" i="5" a="1"/>
  <c r="O169" i="5" s="1"/>
  <c r="O170" i="5" a="1"/>
  <c r="O170" i="5" s="1"/>
  <c r="O171" i="5" a="1"/>
  <c r="O171" i="5" s="1"/>
  <c r="O172" i="5" a="1"/>
  <c r="O172" i="5"/>
  <c r="O173" i="5" a="1"/>
  <c r="O173" i="5"/>
  <c r="O174" i="5" a="1"/>
  <c r="O174" i="5" s="1"/>
  <c r="O175" i="5" a="1"/>
  <c r="O175" i="5"/>
  <c r="O176" i="5" a="1"/>
  <c r="O176" i="5"/>
  <c r="O177" i="5" a="1"/>
  <c r="O177" i="5"/>
  <c r="O178" i="5" a="1"/>
  <c r="O178" i="5" s="1"/>
  <c r="O179" i="5" a="1"/>
  <c r="O179" i="5" s="1"/>
  <c r="O180" i="5" a="1"/>
  <c r="O180" i="5" s="1"/>
  <c r="O181" i="5" a="1"/>
  <c r="O181" i="5"/>
  <c r="O182" i="5" a="1"/>
  <c r="O182" i="5" s="1"/>
  <c r="O183" i="5" a="1"/>
  <c r="O183" i="5"/>
  <c r="O184" i="5" a="1"/>
  <c r="O184" i="5"/>
  <c r="O185" i="5" a="1"/>
  <c r="O185" i="5"/>
  <c r="O186" i="5" a="1"/>
  <c r="O186" i="5" s="1"/>
  <c r="O187" i="5" a="1"/>
  <c r="O187" i="5" s="1"/>
  <c r="O188" i="5" a="1"/>
  <c r="O188" i="5" s="1"/>
  <c r="O189" i="5" a="1"/>
  <c r="O189" i="5" s="1"/>
  <c r="O190" i="5" a="1"/>
  <c r="O190" i="5" s="1"/>
  <c r="O191" i="5" a="1"/>
  <c r="O191" i="5"/>
  <c r="O192" i="5" a="1"/>
  <c r="O192" i="5"/>
  <c r="O193" i="5" a="1"/>
  <c r="O193" i="5"/>
  <c r="O194" i="5" a="1"/>
  <c r="O194" i="5" s="1"/>
  <c r="O195" i="5" a="1"/>
  <c r="O195" i="5"/>
  <c r="O196" i="5" a="1"/>
  <c r="O196" i="5" s="1"/>
  <c r="O197" i="5" a="1"/>
  <c r="O197" i="5" s="1"/>
  <c r="O198" i="5" a="1"/>
  <c r="O198" i="5" s="1"/>
  <c r="O199" i="5" a="1"/>
  <c r="O199" i="5"/>
  <c r="O200" i="5" a="1"/>
  <c r="O200" i="5" s="1"/>
  <c r="O201" i="5" a="1"/>
  <c r="O201" i="5" s="1"/>
  <c r="O202" i="5" a="1"/>
  <c r="O202" i="5" s="1"/>
  <c r="O203" i="5" a="1"/>
  <c r="O203" i="5" s="1"/>
  <c r="O204" i="5" a="1"/>
  <c r="O204" i="5"/>
  <c r="O205" i="5" a="1"/>
  <c r="O205" i="5" s="1"/>
  <c r="O206" i="5" a="1"/>
  <c r="O206" i="5" s="1"/>
  <c r="O207" i="5" a="1"/>
  <c r="O207" i="5"/>
  <c r="O208" i="5" a="1"/>
  <c r="O208" i="5"/>
  <c r="O209" i="5" a="1"/>
  <c r="O209" i="5"/>
  <c r="O210" i="5" a="1"/>
  <c r="O210" i="5" s="1"/>
  <c r="O211" i="5" a="1"/>
  <c r="O211" i="5" s="1"/>
  <c r="O212" i="5" a="1"/>
  <c r="O212" i="5" s="1"/>
  <c r="O213" i="5" a="1"/>
  <c r="O213" i="5"/>
  <c r="O214" i="5" a="1"/>
  <c r="O214" i="5" s="1"/>
  <c r="O215" i="5" a="1"/>
  <c r="O215" i="5"/>
  <c r="O216" i="5" a="1"/>
  <c r="O216" i="5"/>
  <c r="O217" i="5" a="1"/>
  <c r="O217" i="5"/>
  <c r="O218" i="5" a="1"/>
  <c r="O218" i="5" s="1"/>
  <c r="O219" i="5" a="1"/>
  <c r="O219" i="5"/>
  <c r="O220" i="5" a="1"/>
  <c r="O220" i="5" s="1"/>
  <c r="O221" i="5" a="1"/>
  <c r="O221" i="5" s="1"/>
  <c r="O222" i="5" a="1"/>
  <c r="O222" i="5" s="1"/>
  <c r="O223" i="5" a="1"/>
  <c r="O223" i="5"/>
  <c r="O224" i="5" a="1"/>
  <c r="O224" i="5"/>
  <c r="O225" i="5" a="1"/>
  <c r="O225" i="5"/>
  <c r="O226" i="5" a="1"/>
  <c r="O226" i="5" s="1"/>
  <c r="O227" i="5" a="1"/>
  <c r="O227" i="5"/>
  <c r="O228" i="5" a="1"/>
  <c r="O228" i="5" s="1"/>
  <c r="O229" i="5" a="1"/>
  <c r="O229" i="5" s="1"/>
  <c r="O230" i="5" a="1"/>
  <c r="O230" i="5" s="1"/>
  <c r="O231" i="5" a="1"/>
  <c r="O231" i="5"/>
  <c r="O232" i="5" a="1"/>
  <c r="O232" i="5" s="1"/>
  <c r="O233" i="5" a="1"/>
  <c r="O233" i="5" s="1"/>
  <c r="O234" i="5" a="1"/>
  <c r="O234" i="5" s="1"/>
  <c r="O235" i="5" a="1"/>
  <c r="O235" i="5" s="1"/>
  <c r="O236" i="5" a="1"/>
  <c r="O236" i="5" s="1"/>
  <c r="O237" i="5" a="1"/>
  <c r="O237" i="5" s="1"/>
  <c r="O238" i="5" a="1"/>
  <c r="O238" i="5" s="1"/>
  <c r="O239" i="5" a="1"/>
  <c r="O239" i="5"/>
  <c r="O240" i="5" a="1"/>
  <c r="O240" i="5"/>
  <c r="O241" i="5" a="1"/>
  <c r="O241" i="5"/>
  <c r="O242" i="5" a="1"/>
  <c r="O242" i="5" s="1"/>
  <c r="O243" i="5" a="1"/>
  <c r="O243" i="5" s="1"/>
  <c r="O244" i="5" a="1"/>
  <c r="O244" i="5" s="1"/>
  <c r="O245" i="5" a="1"/>
  <c r="O245" i="5"/>
  <c r="O246" i="5" a="1"/>
  <c r="O246" i="5" s="1"/>
  <c r="O247" i="5" a="1"/>
  <c r="O247" i="5"/>
  <c r="O248" i="5" a="1"/>
  <c r="O248" i="5"/>
  <c r="O249" i="5" a="1"/>
  <c r="O249" i="5"/>
  <c r="O250" i="5" a="1"/>
  <c r="O250" i="5" s="1"/>
  <c r="O251" i="5" a="1"/>
  <c r="O251" i="5" s="1"/>
  <c r="O252" i="5" a="1"/>
  <c r="O252" i="5" s="1"/>
  <c r="O253" i="5" a="1"/>
  <c r="O253" i="5" s="1"/>
  <c r="O254" i="5" a="1"/>
  <c r="O254" i="5" s="1"/>
  <c r="O255" i="5" a="1"/>
  <c r="O255" i="5"/>
  <c r="O256" i="5" a="1"/>
  <c r="O256" i="5"/>
  <c r="O257" i="5" a="1"/>
  <c r="O257" i="5"/>
  <c r="O258" i="5" a="1"/>
  <c r="O258" i="5" s="1"/>
  <c r="O259" i="5" a="1"/>
  <c r="O259" i="5" s="1"/>
  <c r="O260" i="5" a="1"/>
  <c r="O260" i="5"/>
  <c r="O261" i="5" a="1"/>
  <c r="O261" i="5" s="1"/>
  <c r="O262" i="5" a="1"/>
  <c r="O262" i="5" s="1"/>
  <c r="O263" i="5" a="1"/>
  <c r="O263" i="5"/>
  <c r="O264" i="5" a="1"/>
  <c r="O264" i="5" s="1"/>
  <c r="O265" i="5" a="1"/>
  <c r="O265" i="5"/>
  <c r="O266" i="5" a="1"/>
  <c r="O266" i="5" s="1"/>
  <c r="O267" i="5" a="1"/>
  <c r="O267" i="5" s="1"/>
  <c r="O268" i="5" a="1"/>
  <c r="O268" i="5" s="1"/>
  <c r="O269" i="5" a="1"/>
  <c r="O269" i="5" s="1"/>
  <c r="O270" i="5" a="1"/>
  <c r="O270" i="5" s="1"/>
  <c r="O271" i="5" a="1"/>
  <c r="O271" i="5"/>
  <c r="O272" i="5" a="1"/>
  <c r="O272" i="5"/>
  <c r="O273" i="5" a="1"/>
  <c r="O273" i="5"/>
  <c r="O274" i="5" a="1"/>
  <c r="O274" i="5" s="1"/>
  <c r="O275" i="5" a="1"/>
  <c r="O275" i="5" s="1"/>
  <c r="O276" i="5" a="1"/>
  <c r="O276" i="5" s="1"/>
  <c r="O277" i="5" a="1"/>
  <c r="O277" i="5" s="1"/>
  <c r="O278" i="5" a="1"/>
  <c r="O278" i="5" s="1"/>
  <c r="O279" i="5" a="1"/>
  <c r="O279" i="5"/>
  <c r="O280" i="5" a="1"/>
  <c r="O280" i="5"/>
  <c r="O281" i="5" a="1"/>
  <c r="O281" i="5"/>
  <c r="O282" i="5" a="1"/>
  <c r="O282" i="5" s="1"/>
  <c r="O283" i="5" a="1"/>
  <c r="O283" i="5" s="1"/>
  <c r="O284" i="5" a="1"/>
  <c r="O284" i="5" s="1"/>
  <c r="O285" i="5" a="1"/>
  <c r="O285" i="5" s="1"/>
  <c r="O286" i="5" a="1"/>
  <c r="O286" i="5" s="1"/>
  <c r="O287" i="5" a="1"/>
  <c r="O287" i="5"/>
  <c r="O288" i="5" a="1"/>
  <c r="O288" i="5"/>
  <c r="O289" i="5" a="1"/>
  <c r="O289" i="5"/>
  <c r="O290" i="5" a="1"/>
  <c r="O290" i="5" s="1"/>
  <c r="O291" i="5" a="1"/>
  <c r="O291" i="5"/>
  <c r="O292" i="5" a="1"/>
  <c r="O292" i="5" s="1"/>
  <c r="O293" i="5" a="1"/>
  <c r="O293" i="5" s="1"/>
  <c r="O294" i="5" a="1"/>
  <c r="O294" i="5" s="1"/>
  <c r="O295" i="5" a="1"/>
  <c r="O295" i="5"/>
  <c r="O296" i="5" a="1"/>
  <c r="O296" i="5"/>
  <c r="O297" i="5" a="1"/>
  <c r="O297" i="5" s="1"/>
  <c r="O298" i="5" a="1"/>
  <c r="O298" i="5" s="1"/>
  <c r="O299" i="5" a="1"/>
  <c r="O299" i="5" s="1"/>
  <c r="O300" i="5" a="1"/>
  <c r="O300" i="5" s="1"/>
  <c r="O301" i="5" a="1"/>
  <c r="O301" i="5"/>
  <c r="O302" i="5" a="1"/>
  <c r="O302" i="5" s="1"/>
  <c r="O303" i="5" a="1"/>
  <c r="O303" i="5"/>
  <c r="O304" i="5" a="1"/>
  <c r="O304" i="5"/>
  <c r="O305" i="5" a="1"/>
  <c r="O305" i="5"/>
  <c r="O306" i="5" a="1"/>
  <c r="O306" i="5" s="1"/>
  <c r="O307" i="5" a="1"/>
  <c r="O307" i="5" s="1"/>
  <c r="O308" i="5" a="1"/>
  <c r="O308" i="5" s="1"/>
  <c r="O309" i="5" a="1"/>
  <c r="O309" i="5" s="1"/>
  <c r="O310" i="5" a="1"/>
  <c r="O310" i="5" s="1"/>
  <c r="O311" i="5" a="1"/>
  <c r="O311" i="5"/>
  <c r="O312" i="5" a="1"/>
  <c r="O312" i="5"/>
  <c r="O313" i="5" a="1"/>
  <c r="O313" i="5"/>
  <c r="O314" i="5" a="1"/>
  <c r="O314" i="5" s="1"/>
  <c r="O315" i="5" a="1"/>
  <c r="O315" i="5" s="1"/>
  <c r="O316" i="5" a="1"/>
  <c r="O316" i="5" s="1"/>
  <c r="O317" i="5" a="1"/>
  <c r="O317" i="5" s="1"/>
  <c r="O318" i="5" a="1"/>
  <c r="O318" i="5" s="1"/>
  <c r="O319" i="5" a="1"/>
  <c r="O319" i="5"/>
  <c r="O320" i="5" a="1"/>
  <c r="O320" i="5"/>
  <c r="O321" i="5" a="1"/>
  <c r="O321" i="5"/>
  <c r="O322" i="5" a="1"/>
  <c r="O322" i="5" s="1"/>
  <c r="O323" i="5" a="1"/>
  <c r="O323" i="5" s="1"/>
  <c r="O324" i="5" a="1"/>
  <c r="O324" i="5" s="1"/>
  <c r="O325" i="5" a="1"/>
  <c r="O325" i="5" s="1"/>
  <c r="O326" i="5" a="1"/>
  <c r="O326" i="5" s="1"/>
  <c r="O327" i="5" a="1"/>
  <c r="O327" i="5"/>
  <c r="O328" i="5" a="1"/>
  <c r="O328" i="5" s="1"/>
  <c r="O329" i="5" a="1"/>
  <c r="O329" i="5" s="1"/>
  <c r="O330" i="5" a="1"/>
  <c r="O330" i="5" s="1"/>
  <c r="O331" i="5" a="1"/>
  <c r="O331" i="5" s="1"/>
  <c r="O332" i="5" a="1"/>
  <c r="O332" i="5"/>
  <c r="O333" i="5" a="1"/>
  <c r="O333" i="5" s="1"/>
  <c r="O334" i="5" a="1"/>
  <c r="O334" i="5" s="1"/>
  <c r="O335" i="5" a="1"/>
  <c r="O335" i="5"/>
  <c r="O336" i="5" a="1"/>
  <c r="O336" i="5"/>
  <c r="O337" i="5" a="1"/>
  <c r="O337" i="5"/>
  <c r="O338" i="5" a="1"/>
  <c r="O338" i="5" s="1"/>
  <c r="O339" i="5" a="1"/>
  <c r="O339" i="5" s="1"/>
  <c r="O340" i="5" a="1"/>
  <c r="O340" i="5" s="1"/>
  <c r="O341" i="5" a="1"/>
  <c r="O341" i="5"/>
  <c r="O342" i="5" a="1"/>
  <c r="O342" i="5"/>
  <c r="O343" i="5" a="1"/>
  <c r="O343" i="5"/>
  <c r="O344" i="5" a="1"/>
  <c r="O344" i="5" s="1"/>
  <c r="O345" i="5" a="1"/>
  <c r="O345" i="5" s="1"/>
  <c r="O346" i="5" a="1"/>
  <c r="O346" i="5"/>
  <c r="O347" i="5" a="1"/>
  <c r="O347" i="5" s="1"/>
  <c r="O348" i="5" a="1"/>
  <c r="O348" i="5" s="1"/>
  <c r="O349" i="5" a="1"/>
  <c r="O349" i="5"/>
  <c r="O350" i="5" a="1"/>
  <c r="O350" i="5"/>
  <c r="O351" i="5" a="1"/>
  <c r="O351" i="5"/>
  <c r="O352" i="5" a="1"/>
  <c r="O352" i="5" s="1"/>
  <c r="O353" i="5" a="1"/>
  <c r="O353" i="5" s="1"/>
  <c r="O354" i="5" a="1"/>
  <c r="O354" i="5" s="1"/>
  <c r="O355" i="5" a="1"/>
  <c r="O355" i="5"/>
  <c r="O356" i="5" a="1"/>
  <c r="O356" i="5" s="1"/>
  <c r="O357" i="5" a="1"/>
  <c r="O357" i="5"/>
  <c r="O358" i="5" a="1"/>
  <c r="O358" i="5"/>
  <c r="O359" i="5" a="1"/>
  <c r="O359" i="5"/>
  <c r="O360" i="5" a="1"/>
  <c r="O360" i="5" s="1"/>
  <c r="O361" i="5" a="1"/>
  <c r="O361" i="5" s="1"/>
  <c r="O362" i="5" a="1"/>
  <c r="O362" i="5" s="1"/>
  <c r="O363" i="5" a="1"/>
  <c r="O363" i="5" s="1"/>
  <c r="O364" i="5" a="1"/>
  <c r="O364" i="5" s="1"/>
  <c r="O365" i="5" a="1"/>
  <c r="O365" i="5"/>
  <c r="O366" i="5" a="1"/>
  <c r="O366" i="5"/>
  <c r="O367" i="5" a="1"/>
  <c r="O367" i="5"/>
  <c r="O368" i="5" a="1"/>
  <c r="O368" i="5" s="1"/>
  <c r="O369" i="5" a="1"/>
  <c r="O369" i="5"/>
  <c r="O370" i="5" a="1"/>
  <c r="O370" i="5" s="1"/>
  <c r="O371" i="5" a="1"/>
  <c r="O371" i="5" s="1"/>
  <c r="O372" i="5" a="1"/>
  <c r="O372" i="5" s="1"/>
  <c r="O373" i="5" a="1"/>
  <c r="O373" i="5"/>
  <c r="O374" i="5" a="1"/>
  <c r="O374" i="5"/>
  <c r="O375" i="5" a="1"/>
  <c r="O375" i="5"/>
  <c r="O376" i="5" a="1"/>
  <c r="O376" i="5" s="1"/>
  <c r="O377" i="5" a="1"/>
  <c r="O377" i="5" s="1"/>
  <c r="O378" i="5" a="1"/>
  <c r="O378" i="5"/>
  <c r="O379" i="5" a="1"/>
  <c r="O379" i="5" s="1"/>
  <c r="O380" i="5" a="1"/>
  <c r="O380" i="5" s="1"/>
  <c r="O381" i="5" a="1"/>
  <c r="O381" i="5"/>
  <c r="O382" i="5" a="1"/>
  <c r="O382" i="5"/>
  <c r="O383" i="5" a="1"/>
  <c r="O383" i="5"/>
  <c r="O384" i="5" a="1"/>
  <c r="O384" i="5" s="1"/>
  <c r="O385" i="5" a="1"/>
  <c r="O385" i="5" s="1"/>
  <c r="O386" i="5" a="1"/>
  <c r="O386" i="5" s="1"/>
  <c r="O387" i="5" a="1"/>
  <c r="O387" i="5"/>
  <c r="O388" i="5" a="1"/>
  <c r="O388" i="5" s="1"/>
  <c r="O389" i="5" a="1"/>
  <c r="O389" i="5"/>
  <c r="O390" i="5" a="1"/>
  <c r="O390" i="5"/>
  <c r="O391" i="5" a="1"/>
  <c r="O391" i="5"/>
  <c r="O392" i="5" a="1"/>
  <c r="O392" i="5" s="1"/>
  <c r="O393" i="5" a="1"/>
  <c r="O393" i="5" s="1"/>
  <c r="O394" i="5" a="1"/>
  <c r="O394" i="5" s="1"/>
  <c r="O395" i="5" a="1"/>
  <c r="O395" i="5" s="1"/>
  <c r="O396" i="5" a="1"/>
  <c r="O396" i="5" s="1"/>
  <c r="O397" i="5" a="1"/>
  <c r="O397" i="5"/>
  <c r="O398" i="5" a="1"/>
  <c r="O398" i="5"/>
  <c r="O399" i="5" a="1"/>
  <c r="O399" i="5"/>
  <c r="O400" i="5" a="1"/>
  <c r="O400" i="5" s="1"/>
  <c r="O401" i="5" a="1"/>
  <c r="O401" i="5"/>
  <c r="O402" i="5" a="1"/>
  <c r="O402" i="5" s="1"/>
  <c r="O403" i="5" a="1"/>
  <c r="O403" i="5" s="1"/>
  <c r="O404" i="5" a="1"/>
  <c r="O404" i="5" s="1"/>
  <c r="O405" i="5" a="1"/>
  <c r="O405" i="5"/>
  <c r="O406" i="5" a="1"/>
  <c r="O406" i="5"/>
  <c r="O407" i="5" a="1"/>
  <c r="O407" i="5"/>
  <c r="O408" i="5" a="1"/>
  <c r="O408" i="5" s="1"/>
  <c r="O409" i="5" a="1"/>
  <c r="O409" i="5" s="1"/>
  <c r="O410" i="5" a="1"/>
  <c r="O410" i="5"/>
  <c r="O411" i="5" a="1"/>
  <c r="O411" i="5" s="1"/>
  <c r="O412" i="5" a="1"/>
  <c r="O412" i="5" s="1"/>
  <c r="O413" i="5" a="1"/>
  <c r="O413" i="5"/>
  <c r="O414" i="5" a="1"/>
  <c r="O414" i="5"/>
  <c r="O415" i="5" a="1"/>
  <c r="O415" i="5"/>
  <c r="O416" i="5" a="1"/>
  <c r="O416" i="5" s="1"/>
  <c r="O417" i="5" a="1"/>
  <c r="O417" i="5" s="1"/>
  <c r="O418" i="5" a="1"/>
  <c r="O418" i="5" s="1"/>
  <c r="O419" i="5" a="1"/>
  <c r="O419" i="5"/>
  <c r="O420" i="5" a="1"/>
  <c r="O420" i="5" s="1"/>
  <c r="O421" i="5" a="1"/>
  <c r="O421" i="5"/>
  <c r="O422" i="5" a="1"/>
  <c r="O422" i="5"/>
  <c r="O423" i="5" a="1"/>
  <c r="O423" i="5"/>
  <c r="O424" i="5" a="1"/>
  <c r="O424" i="5" s="1"/>
  <c r="O425" i="5" a="1"/>
  <c r="O425" i="5" s="1"/>
  <c r="O426" i="5" a="1"/>
  <c r="O426" i="5" s="1"/>
  <c r="O427" i="5" a="1"/>
  <c r="O427" i="5" s="1"/>
  <c r="O428" i="5" a="1"/>
  <c r="O428" i="5" s="1"/>
  <c r="O429" i="5" a="1"/>
  <c r="O429" i="5"/>
  <c r="O430" i="5" a="1"/>
  <c r="O430" i="5"/>
  <c r="O431" i="5" a="1"/>
  <c r="O431" i="5"/>
  <c r="O432" i="5" a="1"/>
  <c r="O432" i="5" s="1"/>
  <c r="O433" i="5" a="1"/>
  <c r="O433" i="5"/>
  <c r="O434" i="5" a="1"/>
  <c r="O434" i="5" s="1"/>
  <c r="O435" i="5" a="1"/>
  <c r="O435" i="5" s="1"/>
  <c r="O436" i="5" a="1"/>
  <c r="O436" i="5" s="1"/>
  <c r="O437" i="5" a="1"/>
  <c r="O437" i="5"/>
  <c r="O438" i="5" a="1"/>
  <c r="O438" i="5"/>
  <c r="O439" i="5" a="1"/>
  <c r="O439" i="5"/>
  <c r="O440" i="5" a="1"/>
  <c r="O440" i="5" s="1"/>
  <c r="O441" i="5" a="1"/>
  <c r="O441" i="5" s="1"/>
  <c r="O442" i="5" a="1"/>
  <c r="O442" i="5"/>
  <c r="O443" i="5" a="1"/>
  <c r="O443" i="5" s="1"/>
  <c r="O444" i="5" a="1"/>
  <c r="O444" i="5" s="1"/>
  <c r="O445" i="5" a="1"/>
  <c r="O445" i="5"/>
  <c r="O446" i="5" a="1"/>
  <c r="O446" i="5"/>
  <c r="O447" i="5" a="1"/>
  <c r="O447" i="5"/>
  <c r="O448" i="5" a="1"/>
  <c r="O448" i="5" s="1"/>
  <c r="O449" i="5" a="1"/>
  <c r="O449" i="5" s="1"/>
  <c r="O450" i="5" a="1"/>
  <c r="O450" i="5" s="1"/>
  <c r="O451" i="5" a="1"/>
  <c r="O451" i="5"/>
  <c r="O452" i="5" a="1"/>
  <c r="O452" i="5" s="1"/>
  <c r="O453" i="5" a="1"/>
  <c r="O453" i="5"/>
  <c r="O454" i="5" a="1"/>
  <c r="O454" i="5"/>
  <c r="O455" i="5" a="1"/>
  <c r="O455" i="5"/>
  <c r="O456" i="5" a="1"/>
  <c r="O456" i="5" s="1"/>
  <c r="O457" i="5" a="1"/>
  <c r="O457" i="5" s="1"/>
  <c r="O458" i="5" a="1"/>
  <c r="O458" i="5" s="1"/>
  <c r="O459" i="5" a="1"/>
  <c r="O459" i="5" s="1"/>
  <c r="O460" i="5" a="1"/>
  <c r="O460" i="5" s="1"/>
  <c r="O461" i="5" a="1"/>
  <c r="O461" i="5"/>
  <c r="O462" i="5" a="1"/>
  <c r="O462" i="5"/>
  <c r="O463" i="5" a="1"/>
  <c r="O463" i="5"/>
  <c r="O464" i="5" a="1"/>
  <c r="O464" i="5" s="1"/>
  <c r="O465" i="5" a="1"/>
  <c r="O465" i="5"/>
  <c r="O466" i="5" a="1"/>
  <c r="O466" i="5" s="1"/>
  <c r="O467" i="5" a="1"/>
  <c r="O467" i="5" s="1"/>
  <c r="O468" i="5" a="1"/>
  <c r="O468" i="5" s="1"/>
  <c r="O469" i="5" a="1"/>
  <c r="O469" i="5"/>
  <c r="O470" i="5" a="1"/>
  <c r="O470" i="5"/>
  <c r="O471" i="5" a="1"/>
  <c r="O471" i="5"/>
  <c r="O472" i="5" a="1"/>
  <c r="O472" i="5" s="1"/>
  <c r="O473" i="5" a="1"/>
  <c r="O473" i="5" s="1"/>
  <c r="O474" i="5" a="1"/>
  <c r="O474" i="5"/>
  <c r="O475" i="5" a="1"/>
  <c r="O475" i="5" s="1"/>
  <c r="O476" i="5" a="1"/>
  <c r="O476" i="5" s="1"/>
  <c r="O477" i="5" a="1"/>
  <c r="O477" i="5"/>
  <c r="O478" i="5" a="1"/>
  <c r="O478" i="5"/>
  <c r="O479" i="5" a="1"/>
  <c r="O479" i="5"/>
  <c r="O480" i="5" a="1"/>
  <c r="O480" i="5" s="1"/>
  <c r="O481" i="5" a="1"/>
  <c r="O481" i="5" s="1"/>
  <c r="O482" i="5" a="1"/>
  <c r="O482" i="5" s="1"/>
  <c r="O483" i="5" a="1"/>
  <c r="O483" i="5"/>
  <c r="O484" i="5" a="1"/>
  <c r="O484" i="5" s="1"/>
  <c r="O485" i="5" a="1"/>
  <c r="O485" i="5"/>
  <c r="O486" i="5" a="1"/>
  <c r="O486" i="5"/>
  <c r="O487" i="5" a="1"/>
  <c r="O487" i="5"/>
  <c r="O488" i="5" a="1"/>
  <c r="O488" i="5" s="1"/>
  <c r="O489" i="5" a="1"/>
  <c r="O489" i="5" s="1"/>
  <c r="O490" i="5" a="1"/>
  <c r="O490" i="5" s="1"/>
  <c r="O491" i="5" a="1"/>
  <c r="O491" i="5" s="1"/>
  <c r="O492" i="5" a="1"/>
  <c r="O492" i="5" s="1"/>
  <c r="O493" i="5" a="1"/>
  <c r="O493" i="5"/>
  <c r="O494" i="5" a="1"/>
  <c r="O494" i="5"/>
  <c r="O495" i="5" a="1"/>
  <c r="O495" i="5"/>
  <c r="O496" i="5" a="1"/>
  <c r="O496" i="5" s="1"/>
  <c r="O497" i="5" a="1"/>
  <c r="O497" i="5"/>
  <c r="O498" i="5" a="1"/>
  <c r="O498" i="5" s="1"/>
  <c r="O499" i="5" a="1"/>
  <c r="O499" i="5" s="1"/>
  <c r="O500" i="5" a="1"/>
  <c r="O500" i="5" s="1"/>
  <c r="O501" i="5" a="1"/>
  <c r="O501" i="5"/>
  <c r="O502" i="5" a="1"/>
  <c r="O502" i="5"/>
  <c r="O503" i="5" a="1"/>
  <c r="O503" i="5"/>
  <c r="O504" i="5" a="1"/>
  <c r="O504" i="5" s="1"/>
  <c r="O505" i="5" a="1"/>
  <c r="O505" i="5" s="1"/>
  <c r="O506" i="5" a="1"/>
  <c r="O506" i="5"/>
  <c r="O507" i="5" a="1"/>
  <c r="O507" i="5" s="1"/>
  <c r="O508" i="5" a="1"/>
  <c r="O508" i="5" s="1"/>
  <c r="O509" i="5" a="1"/>
  <c r="O509" i="5"/>
  <c r="O510" i="5" a="1"/>
  <c r="O510" i="5"/>
  <c r="O511" i="5" a="1"/>
  <c r="O511" i="5"/>
  <c r="O512" i="5" a="1"/>
  <c r="O512" i="5" s="1"/>
  <c r="O513" i="5" a="1"/>
  <c r="O513" i="5" s="1"/>
  <c r="O514" i="5" a="1"/>
  <c r="O514" i="5" s="1"/>
  <c r="O515" i="5" a="1"/>
  <c r="O515" i="5"/>
  <c r="O516" i="5" a="1"/>
  <c r="O516" i="5" s="1"/>
  <c r="O517" i="5" a="1"/>
  <c r="O517" i="5"/>
  <c r="O518" i="5" a="1"/>
  <c r="O518" i="5"/>
  <c r="O519" i="5" a="1"/>
  <c r="O519" i="5"/>
  <c r="O520" i="5" a="1"/>
  <c r="O520" i="5" s="1"/>
  <c r="O521" i="5" a="1"/>
  <c r="O521" i="5" s="1"/>
  <c r="O522" i="5" a="1"/>
  <c r="O522" i="5" s="1"/>
  <c r="O523" i="5" a="1"/>
  <c r="O523" i="5" s="1"/>
  <c r="O524" i="5" a="1"/>
  <c r="O524" i="5" s="1"/>
  <c r="O525" i="5" a="1"/>
  <c r="O525" i="5"/>
  <c r="O526" i="5" a="1"/>
  <c r="O526" i="5"/>
  <c r="O527" i="5" a="1"/>
  <c r="O527" i="5"/>
  <c r="O528" i="5" a="1"/>
  <c r="O528" i="5" s="1"/>
  <c r="O529" i="5" a="1"/>
  <c r="O529" i="5"/>
  <c r="O530" i="5" a="1"/>
  <c r="O530" i="5" s="1"/>
  <c r="O531" i="5" a="1"/>
  <c r="O531" i="5" s="1"/>
  <c r="O532" i="5" a="1"/>
  <c r="O532" i="5" s="1"/>
  <c r="O533" i="5" a="1"/>
  <c r="O533" i="5"/>
  <c r="O534" i="5" a="1"/>
  <c r="O534" i="5"/>
  <c r="O535" i="5" a="1"/>
  <c r="O535" i="5"/>
  <c r="O536" i="5" a="1"/>
  <c r="O536" i="5" s="1"/>
  <c r="O537" i="5" a="1"/>
  <c r="O537" i="5" s="1"/>
  <c r="O538" i="5" a="1"/>
  <c r="O538" i="5"/>
  <c r="O539" i="5" a="1"/>
  <c r="O539" i="5" s="1"/>
  <c r="O540" i="5" a="1"/>
  <c r="O540" i="5" s="1"/>
  <c r="O541" i="5" a="1"/>
  <c r="O541" i="5"/>
  <c r="O542" i="5" a="1"/>
  <c r="O542" i="5"/>
  <c r="O543" i="5" a="1"/>
  <c r="O543" i="5"/>
  <c r="O544" i="5" a="1"/>
  <c r="O544" i="5" s="1"/>
  <c r="O545" i="5" a="1"/>
  <c r="O545" i="5" s="1"/>
  <c r="O546" i="5" a="1"/>
  <c r="O546" i="5" s="1"/>
  <c r="O547" i="5" a="1"/>
  <c r="O547" i="5"/>
  <c r="O548" i="5" a="1"/>
  <c r="O548" i="5" s="1"/>
  <c r="O549" i="5" a="1"/>
  <c r="O549" i="5"/>
  <c r="O550" i="5" a="1"/>
  <c r="O550" i="5"/>
  <c r="O551" i="5" a="1"/>
  <c r="O551" i="5"/>
  <c r="O552" i="5" a="1"/>
  <c r="O552" i="5" s="1"/>
  <c r="O553" i="5" a="1"/>
  <c r="O553" i="5" s="1"/>
  <c r="O554" i="5" a="1"/>
  <c r="O554" i="5" s="1"/>
  <c r="O555" i="5" a="1"/>
  <c r="O555" i="5" s="1"/>
  <c r="O556" i="5" a="1"/>
  <c r="O556" i="5" s="1"/>
  <c r="O557" i="5" a="1"/>
  <c r="O557" i="5"/>
  <c r="O558" i="5" a="1"/>
  <c r="O558" i="5"/>
  <c r="O559" i="5" a="1"/>
  <c r="O559" i="5"/>
  <c r="O560" i="5" a="1"/>
  <c r="O560" i="5"/>
  <c r="O561" i="5" a="1"/>
  <c r="O561" i="5"/>
  <c r="O562" i="5" a="1"/>
  <c r="O562" i="5"/>
  <c r="O563" i="5" a="1"/>
  <c r="O563" i="5"/>
  <c r="O564" i="5" a="1"/>
  <c r="O564" i="5"/>
  <c r="O565" i="5" a="1"/>
  <c r="O565" i="5"/>
  <c r="O566" i="5" a="1"/>
  <c r="O566" i="5"/>
  <c r="O567" i="5" a="1"/>
  <c r="O567" i="5"/>
  <c r="O568" i="5" a="1"/>
  <c r="O568" i="5"/>
  <c r="O569" i="5" a="1"/>
  <c r="O569" i="5"/>
  <c r="O570" i="5" a="1"/>
  <c r="O570" i="5"/>
  <c r="O571" i="5" a="1"/>
  <c r="O571" i="5"/>
  <c r="O572" i="5" a="1"/>
  <c r="O572" i="5"/>
  <c r="O573" i="5" a="1"/>
  <c r="O573" i="5"/>
  <c r="O574" i="5" a="1"/>
  <c r="O574" i="5"/>
  <c r="O575" i="5" a="1"/>
  <c r="O575" i="5"/>
  <c r="O576" i="5" a="1"/>
  <c r="O576" i="5"/>
  <c r="O577" i="5" a="1"/>
  <c r="O577" i="5"/>
  <c r="O578" i="5" a="1"/>
  <c r="O578" i="5"/>
  <c r="O579" i="5" a="1"/>
  <c r="O579" i="5"/>
  <c r="O580" i="5" a="1"/>
  <c r="O580" i="5"/>
  <c r="O581" i="5" a="1"/>
  <c r="O581" i="5"/>
  <c r="O582" i="5" a="1"/>
  <c r="O582" i="5"/>
  <c r="O583" i="5" a="1"/>
  <c r="O583" i="5"/>
  <c r="O584" i="5" a="1"/>
  <c r="O584" i="5"/>
  <c r="O585" i="5" a="1"/>
  <c r="O585" i="5"/>
  <c r="O586" i="5" a="1"/>
  <c r="O586" i="5"/>
  <c r="O587" i="5" a="1"/>
  <c r="O587" i="5"/>
  <c r="O588" i="5" a="1"/>
  <c r="O588" i="5"/>
  <c r="O589" i="5" a="1"/>
  <c r="O589" i="5"/>
  <c r="O590" i="5" a="1"/>
  <c r="O590" i="5"/>
  <c r="O591" i="5" a="1"/>
  <c r="O591" i="5"/>
  <c r="O592" i="5" a="1"/>
  <c r="O592" i="5" s="1"/>
  <c r="O593" i="5" a="1"/>
  <c r="O593" i="5"/>
  <c r="O594" i="5" a="1"/>
  <c r="O594" i="5"/>
  <c r="O595" i="5" a="1"/>
  <c r="O595" i="5"/>
  <c r="O596" i="5" a="1"/>
  <c r="O596" i="5" s="1"/>
  <c r="O597" i="5" a="1"/>
  <c r="O597" i="5"/>
  <c r="O598" i="5" a="1"/>
  <c r="O598" i="5"/>
  <c r="O599" i="5" a="1"/>
  <c r="O599" i="5"/>
  <c r="O600" i="5" a="1"/>
  <c r="O600" i="5" s="1"/>
  <c r="O601" i="5" a="1"/>
  <c r="O601" i="5"/>
  <c r="L2" i="5" a="1"/>
  <c r="M404" i="5" s="1" a="1"/>
  <c r="M404" i="5" s="1"/>
  <c r="M403" i="5" a="1"/>
  <c r="M403" i="5" s="1"/>
  <c r="A17" i="5"/>
  <c r="A4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3" i="5"/>
  <c r="P4" i="5"/>
  <c r="P5" i="5"/>
  <c r="P6" i="5"/>
  <c r="P7" i="5"/>
  <c r="P8" i="5"/>
  <c r="P9" i="5"/>
  <c r="P2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U19" i="5"/>
  <c r="T20" i="5"/>
  <c r="T21" i="5"/>
  <c r="T22" i="5"/>
  <c r="T23" i="5"/>
  <c r="T24" i="5"/>
  <c r="T25" i="5"/>
  <c r="U25" i="5"/>
  <c r="T26" i="5"/>
  <c r="T27" i="5"/>
  <c r="T28" i="5"/>
  <c r="T29" i="5"/>
  <c r="T30" i="5"/>
  <c r="T31" i="5"/>
  <c r="T32" i="5"/>
  <c r="T33" i="5"/>
  <c r="T34" i="5"/>
  <c r="T35" i="5"/>
  <c r="U35" i="5"/>
  <c r="T36" i="5"/>
  <c r="T37" i="5"/>
  <c r="T38" i="5"/>
  <c r="T39" i="5"/>
  <c r="T40" i="5"/>
  <c r="T41" i="5"/>
  <c r="T42" i="5"/>
  <c r="T43" i="5"/>
  <c r="U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U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U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U99" i="5"/>
  <c r="T100" i="5"/>
  <c r="T101" i="5"/>
  <c r="T102" i="5"/>
  <c r="T103" i="5"/>
  <c r="T104" i="5"/>
  <c r="T105" i="5"/>
  <c r="T106" i="5"/>
  <c r="T107" i="5"/>
  <c r="U107" i="5"/>
  <c r="T108" i="5"/>
  <c r="T109" i="5"/>
  <c r="T110" i="5"/>
  <c r="T111" i="5"/>
  <c r="T112" i="5"/>
  <c r="T113" i="5"/>
  <c r="T114" i="5"/>
  <c r="T115" i="5"/>
  <c r="U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U131" i="5"/>
  <c r="T132" i="5"/>
  <c r="T133" i="5"/>
  <c r="T134" i="5"/>
  <c r="T135" i="5"/>
  <c r="T136" i="5"/>
  <c r="T137" i="5"/>
  <c r="U137" i="5"/>
  <c r="T138" i="5"/>
  <c r="T139" i="5"/>
  <c r="T140" i="5"/>
  <c r="T141" i="5"/>
  <c r="T142" i="5"/>
  <c r="T143" i="5"/>
  <c r="T144" i="5"/>
  <c r="U144" i="5"/>
  <c r="T145" i="5"/>
  <c r="T146" i="5"/>
  <c r="T147" i="5"/>
  <c r="U147" i="5"/>
  <c r="T148" i="5"/>
  <c r="T149" i="5"/>
  <c r="T150" i="5"/>
  <c r="T151" i="5"/>
  <c r="T152" i="5"/>
  <c r="T153" i="5"/>
  <c r="T154" i="5"/>
  <c r="T155" i="5"/>
  <c r="U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U169" i="5"/>
  <c r="T170" i="5"/>
  <c r="T171" i="5"/>
  <c r="U171" i="5"/>
  <c r="T172" i="5"/>
  <c r="T173" i="5"/>
  <c r="T174" i="5"/>
  <c r="T175" i="5"/>
  <c r="T176" i="5"/>
  <c r="U176" i="5"/>
  <c r="T177" i="5"/>
  <c r="T178" i="5"/>
  <c r="T179" i="5"/>
  <c r="U179" i="5"/>
  <c r="T180" i="5"/>
  <c r="T181" i="5"/>
  <c r="T182" i="5"/>
  <c r="T183" i="5"/>
  <c r="T184" i="5"/>
  <c r="T185" i="5"/>
  <c r="T186" i="5"/>
  <c r="T187" i="5"/>
  <c r="U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U201" i="5"/>
  <c r="T202" i="5"/>
  <c r="T203" i="5"/>
  <c r="T204" i="5"/>
  <c r="T205" i="5"/>
  <c r="T206" i="5"/>
  <c r="T207" i="5"/>
  <c r="T208" i="5"/>
  <c r="U208" i="5"/>
  <c r="T209" i="5"/>
  <c r="T210" i="5"/>
  <c r="T211" i="5"/>
  <c r="U211" i="5"/>
  <c r="T212" i="5"/>
  <c r="T213" i="5"/>
  <c r="T214" i="5"/>
  <c r="T215" i="5"/>
  <c r="T216" i="5"/>
  <c r="T217" i="5"/>
  <c r="T218" i="5"/>
  <c r="T219" i="5"/>
  <c r="U219" i="5"/>
  <c r="T220" i="5"/>
  <c r="T221" i="5"/>
  <c r="T222" i="5"/>
  <c r="T223" i="5"/>
  <c r="T224" i="5"/>
  <c r="T225" i="5"/>
  <c r="T226" i="5"/>
  <c r="T227" i="5"/>
  <c r="R227" i="5"/>
  <c r="U227" i="5"/>
  <c r="T228" i="5"/>
  <c r="T229" i="5"/>
  <c r="T230" i="5"/>
  <c r="T231" i="5"/>
  <c r="T232" i="5"/>
  <c r="T233" i="5"/>
  <c r="T234" i="5"/>
  <c r="T235" i="5"/>
  <c r="U235" i="5"/>
  <c r="T236" i="5"/>
  <c r="T237" i="5"/>
  <c r="T238" i="5"/>
  <c r="T239" i="5"/>
  <c r="T240" i="5"/>
  <c r="T241" i="5"/>
  <c r="T242" i="5"/>
  <c r="T243" i="5"/>
  <c r="U243" i="5"/>
  <c r="T244" i="5"/>
  <c r="T245" i="5"/>
  <c r="T246" i="5"/>
  <c r="T247" i="5"/>
  <c r="T248" i="5"/>
  <c r="U248" i="5"/>
  <c r="T249" i="5"/>
  <c r="T250" i="5"/>
  <c r="T251" i="5"/>
  <c r="U251" i="5"/>
  <c r="T252" i="5"/>
  <c r="T253" i="5"/>
  <c r="T254" i="5"/>
  <c r="T255" i="5"/>
  <c r="T256" i="5"/>
  <c r="T257" i="5"/>
  <c r="T258" i="5"/>
  <c r="T259" i="5"/>
  <c r="U259" i="5"/>
  <c r="T260" i="5"/>
  <c r="T261" i="5"/>
  <c r="T262" i="5"/>
  <c r="T263" i="5"/>
  <c r="T264" i="5"/>
  <c r="T265" i="5"/>
  <c r="U265" i="5"/>
  <c r="T266" i="5"/>
  <c r="T267" i="5"/>
  <c r="T268" i="5"/>
  <c r="T269" i="5"/>
  <c r="T270" i="5"/>
  <c r="T271" i="5"/>
  <c r="T272" i="5"/>
  <c r="U272" i="5"/>
  <c r="T273" i="5"/>
  <c r="U273" i="5"/>
  <c r="T274" i="5"/>
  <c r="T275" i="5"/>
  <c r="U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U291" i="5"/>
  <c r="T292" i="5"/>
  <c r="T293" i="5"/>
  <c r="T294" i="5"/>
  <c r="T295" i="5"/>
  <c r="T296" i="5"/>
  <c r="T297" i="5"/>
  <c r="T298" i="5"/>
  <c r="T299" i="5"/>
  <c r="U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U315" i="5"/>
  <c r="T316" i="5"/>
  <c r="T317" i="5"/>
  <c r="T318" i="5"/>
  <c r="T319" i="5"/>
  <c r="T320" i="5"/>
  <c r="T321" i="5"/>
  <c r="T322" i="5"/>
  <c r="T323" i="5"/>
  <c r="U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U336" i="5"/>
  <c r="T337" i="5"/>
  <c r="T338" i="5"/>
  <c r="T339" i="5"/>
  <c r="T340" i="5"/>
  <c r="T341" i="5"/>
  <c r="T342" i="5"/>
  <c r="T343" i="5"/>
  <c r="T344" i="5"/>
  <c r="T345" i="5"/>
  <c r="U345" i="5"/>
  <c r="T346" i="5"/>
  <c r="T347" i="5"/>
  <c r="U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U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U379" i="5"/>
  <c r="T380" i="5"/>
  <c r="T381" i="5"/>
  <c r="T382" i="5"/>
  <c r="T383" i="5"/>
  <c r="T384" i="5"/>
  <c r="T385" i="5"/>
  <c r="T386" i="5"/>
  <c r="T387" i="5"/>
  <c r="U387" i="5"/>
  <c r="T388" i="5"/>
  <c r="T389" i="5"/>
  <c r="T390" i="5"/>
  <c r="T391" i="5"/>
  <c r="T392" i="5"/>
  <c r="U392" i="5"/>
  <c r="T393" i="5"/>
  <c r="U393" i="5"/>
  <c r="T394" i="5"/>
  <c r="T395" i="5"/>
  <c r="T396" i="5"/>
  <c r="T397" i="5"/>
  <c r="T398" i="5"/>
  <c r="T399" i="5"/>
  <c r="T400" i="5"/>
  <c r="U400" i="5"/>
  <c r="T401" i="5"/>
  <c r="T402" i="5"/>
  <c r="T403" i="5"/>
  <c r="T404" i="5"/>
  <c r="T405" i="5"/>
  <c r="T406" i="5"/>
  <c r="T407" i="5"/>
  <c r="T408" i="5"/>
  <c r="T409" i="5"/>
  <c r="R409" i="5"/>
  <c r="U409" i="5"/>
  <c r="T410" i="5"/>
  <c r="T411" i="5"/>
  <c r="R411" i="5"/>
  <c r="U411" i="5"/>
  <c r="T412" i="5"/>
  <c r="T413" i="5"/>
  <c r="T414" i="5"/>
  <c r="T415" i="5"/>
  <c r="T416" i="5"/>
  <c r="T417" i="5"/>
  <c r="T418" i="5"/>
  <c r="T419" i="5"/>
  <c r="U419" i="5"/>
  <c r="T420" i="5"/>
  <c r="T421" i="5"/>
  <c r="T422" i="5"/>
  <c r="T423" i="5"/>
  <c r="T424" i="5"/>
  <c r="T425" i="5"/>
  <c r="U425" i="5"/>
  <c r="T426" i="5"/>
  <c r="T427" i="5"/>
  <c r="U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U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U457" i="5"/>
  <c r="T458" i="5"/>
  <c r="T459" i="5"/>
  <c r="T460" i="5"/>
  <c r="T461" i="5"/>
  <c r="T462" i="5"/>
  <c r="T463" i="5"/>
  <c r="T464" i="5"/>
  <c r="U464" i="5"/>
  <c r="T465" i="5"/>
  <c r="T466" i="5"/>
  <c r="T467" i="5"/>
  <c r="U467" i="5"/>
  <c r="T468" i="5"/>
  <c r="T469" i="5"/>
  <c r="T470" i="5"/>
  <c r="T471" i="5"/>
  <c r="T472" i="5"/>
  <c r="U472" i="5"/>
  <c r="T473" i="5"/>
  <c r="T474" i="5"/>
  <c r="T475" i="5"/>
  <c r="U475" i="5"/>
  <c r="T476" i="5"/>
  <c r="T477" i="5"/>
  <c r="T478" i="5"/>
  <c r="T479" i="5"/>
  <c r="T480" i="5"/>
  <c r="T481" i="5"/>
  <c r="T482" i="5"/>
  <c r="T483" i="5"/>
  <c r="U483" i="5"/>
  <c r="T484" i="5"/>
  <c r="T485" i="5"/>
  <c r="T486" i="5"/>
  <c r="T487" i="5"/>
  <c r="T488" i="5"/>
  <c r="T489" i="5"/>
  <c r="T490" i="5"/>
  <c r="T491" i="5"/>
  <c r="U491" i="5"/>
  <c r="T492" i="5"/>
  <c r="T493" i="5"/>
  <c r="T494" i="5"/>
  <c r="T495" i="5"/>
  <c r="T496" i="5"/>
  <c r="T497" i="5"/>
  <c r="T498" i="5"/>
  <c r="T499" i="5"/>
  <c r="U499" i="5"/>
  <c r="T500" i="5"/>
  <c r="T501" i="5"/>
  <c r="T502" i="5"/>
  <c r="T503" i="5"/>
  <c r="T504" i="5"/>
  <c r="T505" i="5"/>
  <c r="T506" i="5"/>
  <c r="T507" i="5"/>
  <c r="U507" i="5"/>
  <c r="T508" i="5"/>
  <c r="T509" i="5"/>
  <c r="T510" i="5"/>
  <c r="T511" i="5"/>
  <c r="T512" i="5"/>
  <c r="T513" i="5"/>
  <c r="T514" i="5"/>
  <c r="T515" i="5"/>
  <c r="U515" i="5"/>
  <c r="T516" i="5"/>
  <c r="T517" i="5"/>
  <c r="T518" i="5"/>
  <c r="T519" i="5"/>
  <c r="T520" i="5"/>
  <c r="T521" i="5"/>
  <c r="U521" i="5"/>
  <c r="T522" i="5"/>
  <c r="U522" i="5"/>
  <c r="T523" i="5"/>
  <c r="U523" i="5"/>
  <c r="T524" i="5"/>
  <c r="U524" i="5"/>
  <c r="T525" i="5"/>
  <c r="U525" i="5"/>
  <c r="T526" i="5"/>
  <c r="U526" i="5"/>
  <c r="T527" i="5"/>
  <c r="U527" i="5"/>
  <c r="T528" i="5"/>
  <c r="U528" i="5"/>
  <c r="T529" i="5"/>
  <c r="U529" i="5"/>
  <c r="T530" i="5"/>
  <c r="U530" i="5"/>
  <c r="T531" i="5"/>
  <c r="U531" i="5"/>
  <c r="T532" i="5"/>
  <c r="U532" i="5"/>
  <c r="T533" i="5"/>
  <c r="U533" i="5"/>
  <c r="T534" i="5"/>
  <c r="U534" i="5"/>
  <c r="T535" i="5"/>
  <c r="U535" i="5"/>
  <c r="T536" i="5"/>
  <c r="U536" i="5"/>
  <c r="T537" i="5"/>
  <c r="U537" i="5"/>
  <c r="T538" i="5"/>
  <c r="U538" i="5"/>
  <c r="T539" i="5"/>
  <c r="U539" i="5"/>
  <c r="T540" i="5"/>
  <c r="U540" i="5"/>
  <c r="T541" i="5"/>
  <c r="U541" i="5"/>
  <c r="T542" i="5"/>
  <c r="U542" i="5"/>
  <c r="T543" i="5"/>
  <c r="U543" i="5"/>
  <c r="T544" i="5"/>
  <c r="U544" i="5"/>
  <c r="T545" i="5"/>
  <c r="U545" i="5"/>
  <c r="T546" i="5"/>
  <c r="U546" i="5"/>
  <c r="T547" i="5"/>
  <c r="U547" i="5"/>
  <c r="T548" i="5"/>
  <c r="U548" i="5"/>
  <c r="T549" i="5"/>
  <c r="U549" i="5"/>
  <c r="T550" i="5"/>
  <c r="U550" i="5"/>
  <c r="T551" i="5"/>
  <c r="U551" i="5"/>
  <c r="T552" i="5"/>
  <c r="U552" i="5"/>
  <c r="T553" i="5"/>
  <c r="U553" i="5"/>
  <c r="T554" i="5"/>
  <c r="U554" i="5"/>
  <c r="T555" i="5"/>
  <c r="U555" i="5"/>
  <c r="T556" i="5"/>
  <c r="U556" i="5"/>
  <c r="T557" i="5"/>
  <c r="U557" i="5"/>
  <c r="T558" i="5"/>
  <c r="U558" i="5"/>
  <c r="T559" i="5"/>
  <c r="U559" i="5"/>
  <c r="T560" i="5"/>
  <c r="U560" i="5"/>
  <c r="T561" i="5"/>
  <c r="U561" i="5"/>
  <c r="T562" i="5"/>
  <c r="U562" i="5"/>
  <c r="T563" i="5"/>
  <c r="U563" i="5"/>
  <c r="T564" i="5"/>
  <c r="U564" i="5"/>
  <c r="T565" i="5"/>
  <c r="U565" i="5"/>
  <c r="T566" i="5"/>
  <c r="U566" i="5"/>
  <c r="T567" i="5"/>
  <c r="U567" i="5"/>
  <c r="T568" i="5"/>
  <c r="U568" i="5"/>
  <c r="T569" i="5"/>
  <c r="U569" i="5"/>
  <c r="T570" i="5"/>
  <c r="U570" i="5"/>
  <c r="T571" i="5"/>
  <c r="U571" i="5"/>
  <c r="T572" i="5"/>
  <c r="U572" i="5"/>
  <c r="T573" i="5"/>
  <c r="U573" i="5"/>
  <c r="T574" i="5"/>
  <c r="U574" i="5"/>
  <c r="T575" i="5"/>
  <c r="U575" i="5"/>
  <c r="T576" i="5"/>
  <c r="U576" i="5"/>
  <c r="T577" i="5"/>
  <c r="U577" i="5"/>
  <c r="T578" i="5"/>
  <c r="U578" i="5"/>
  <c r="T579" i="5"/>
  <c r="U579" i="5"/>
  <c r="T580" i="5"/>
  <c r="U580" i="5"/>
  <c r="T581" i="5"/>
  <c r="U581" i="5"/>
  <c r="T582" i="5"/>
  <c r="U582" i="5"/>
  <c r="T583" i="5"/>
  <c r="U583" i="5"/>
  <c r="T584" i="5"/>
  <c r="U584" i="5"/>
  <c r="T585" i="5"/>
  <c r="U585" i="5"/>
  <c r="T586" i="5"/>
  <c r="U586" i="5"/>
  <c r="T587" i="5"/>
  <c r="U587" i="5"/>
  <c r="T588" i="5"/>
  <c r="U588" i="5"/>
  <c r="T589" i="5"/>
  <c r="U589" i="5"/>
  <c r="T590" i="5"/>
  <c r="U590" i="5"/>
  <c r="T2" i="5"/>
  <c r="R15" i="5"/>
  <c r="S15" i="5"/>
  <c r="R16" i="5"/>
  <c r="U16" i="5"/>
  <c r="S16" i="5"/>
  <c r="R17" i="5"/>
  <c r="S17" i="5"/>
  <c r="R18" i="5"/>
  <c r="S18" i="5"/>
  <c r="R19" i="5"/>
  <c r="S19" i="5"/>
  <c r="R20" i="5"/>
  <c r="U20" i="5"/>
  <c r="S20" i="5"/>
  <c r="R21" i="5"/>
  <c r="S21" i="5"/>
  <c r="R22" i="5"/>
  <c r="S22" i="5"/>
  <c r="R23" i="5"/>
  <c r="S23" i="5"/>
  <c r="R24" i="5"/>
  <c r="U24" i="5"/>
  <c r="S24" i="5"/>
  <c r="R25" i="5"/>
  <c r="S25" i="5"/>
  <c r="R26" i="5"/>
  <c r="S26" i="5"/>
  <c r="R27" i="5"/>
  <c r="S27" i="5"/>
  <c r="R28" i="5"/>
  <c r="U28" i="5"/>
  <c r="S28" i="5"/>
  <c r="R29" i="5"/>
  <c r="S29" i="5"/>
  <c r="R30" i="5"/>
  <c r="S30" i="5"/>
  <c r="R31" i="5"/>
  <c r="S31" i="5"/>
  <c r="R32" i="5"/>
  <c r="S32" i="5"/>
  <c r="R33" i="5"/>
  <c r="S33" i="5"/>
  <c r="R34" i="5"/>
  <c r="S34" i="5"/>
  <c r="R35" i="5"/>
  <c r="S35" i="5"/>
  <c r="R36" i="5"/>
  <c r="U36" i="5"/>
  <c r="S36" i="5"/>
  <c r="R37" i="5"/>
  <c r="S37" i="5"/>
  <c r="R38" i="5"/>
  <c r="S38" i="5"/>
  <c r="R39" i="5"/>
  <c r="S39" i="5"/>
  <c r="R40" i="5"/>
  <c r="U40" i="5"/>
  <c r="S40" i="5"/>
  <c r="R41" i="5"/>
  <c r="S41" i="5"/>
  <c r="R42" i="5"/>
  <c r="S42" i="5"/>
  <c r="R43" i="5"/>
  <c r="S43" i="5"/>
  <c r="R44" i="5"/>
  <c r="U44" i="5"/>
  <c r="S44" i="5"/>
  <c r="R45" i="5"/>
  <c r="S45" i="5"/>
  <c r="R46" i="5"/>
  <c r="S46" i="5"/>
  <c r="R47" i="5"/>
  <c r="S47" i="5"/>
  <c r="R48" i="5"/>
  <c r="U48" i="5"/>
  <c r="S48" i="5"/>
  <c r="R49" i="5"/>
  <c r="S49" i="5"/>
  <c r="R50" i="5"/>
  <c r="S50" i="5"/>
  <c r="R51" i="5"/>
  <c r="S51" i="5"/>
  <c r="R52" i="5"/>
  <c r="U52" i="5"/>
  <c r="S52" i="5"/>
  <c r="R53" i="5"/>
  <c r="S53" i="5"/>
  <c r="R54" i="5"/>
  <c r="S54" i="5"/>
  <c r="R55" i="5"/>
  <c r="S55" i="5"/>
  <c r="R56" i="5"/>
  <c r="U56" i="5"/>
  <c r="S56" i="5"/>
  <c r="R57" i="5"/>
  <c r="S57" i="5"/>
  <c r="R58" i="5"/>
  <c r="S58" i="5"/>
  <c r="R59" i="5"/>
  <c r="S59" i="5"/>
  <c r="R60" i="5"/>
  <c r="U60" i="5"/>
  <c r="S60" i="5"/>
  <c r="R61" i="5"/>
  <c r="S61" i="5"/>
  <c r="R62" i="5"/>
  <c r="S62" i="5"/>
  <c r="R63" i="5"/>
  <c r="U63" i="5"/>
  <c r="S63" i="5"/>
  <c r="R64" i="5"/>
  <c r="U64" i="5"/>
  <c r="S64" i="5"/>
  <c r="R65" i="5"/>
  <c r="S65" i="5"/>
  <c r="R66" i="5"/>
  <c r="S66" i="5"/>
  <c r="R67" i="5"/>
  <c r="S67" i="5"/>
  <c r="R68" i="5"/>
  <c r="U68" i="5"/>
  <c r="S68" i="5"/>
  <c r="R69" i="5"/>
  <c r="U69" i="5"/>
  <c r="S69" i="5"/>
  <c r="R70" i="5"/>
  <c r="S70" i="5"/>
  <c r="R71" i="5"/>
  <c r="S71" i="5"/>
  <c r="R72" i="5"/>
  <c r="U72" i="5"/>
  <c r="S72" i="5"/>
  <c r="R73" i="5"/>
  <c r="S73" i="5"/>
  <c r="R74" i="5"/>
  <c r="S74" i="5"/>
  <c r="R75" i="5"/>
  <c r="S75" i="5"/>
  <c r="R76" i="5"/>
  <c r="U76" i="5"/>
  <c r="S76" i="5"/>
  <c r="R77" i="5"/>
  <c r="S77" i="5"/>
  <c r="R78" i="5"/>
  <c r="S78" i="5"/>
  <c r="R79" i="5"/>
  <c r="S79" i="5"/>
  <c r="R80" i="5"/>
  <c r="S80" i="5"/>
  <c r="R81" i="5"/>
  <c r="S81" i="5"/>
  <c r="R82" i="5"/>
  <c r="S82" i="5"/>
  <c r="R83" i="5"/>
  <c r="S83" i="5"/>
  <c r="R84" i="5"/>
  <c r="U84" i="5"/>
  <c r="S84" i="5"/>
  <c r="R85" i="5"/>
  <c r="S85" i="5"/>
  <c r="R86" i="5"/>
  <c r="U86" i="5"/>
  <c r="S86" i="5"/>
  <c r="R87" i="5"/>
  <c r="S87" i="5"/>
  <c r="R88" i="5"/>
  <c r="U88" i="5"/>
  <c r="S88" i="5"/>
  <c r="R89" i="5"/>
  <c r="S89" i="5"/>
  <c r="R90" i="5"/>
  <c r="S90" i="5"/>
  <c r="R91" i="5"/>
  <c r="S91" i="5"/>
  <c r="R92" i="5"/>
  <c r="U92" i="5"/>
  <c r="S92" i="5"/>
  <c r="R93" i="5"/>
  <c r="S93" i="5"/>
  <c r="R94" i="5"/>
  <c r="U94" i="5"/>
  <c r="S94" i="5"/>
  <c r="R95" i="5"/>
  <c r="S95" i="5"/>
  <c r="R96" i="5"/>
  <c r="U96" i="5"/>
  <c r="S96" i="5"/>
  <c r="R97" i="5"/>
  <c r="S97" i="5"/>
  <c r="R98" i="5"/>
  <c r="U98" i="5"/>
  <c r="S98" i="5"/>
  <c r="R99" i="5"/>
  <c r="S99" i="5"/>
  <c r="R100" i="5"/>
  <c r="U100" i="5"/>
  <c r="S100" i="5"/>
  <c r="R101" i="5"/>
  <c r="U101" i="5"/>
  <c r="S101" i="5"/>
  <c r="R102" i="5"/>
  <c r="S102" i="5"/>
  <c r="R103" i="5"/>
  <c r="S103" i="5"/>
  <c r="R104" i="5"/>
  <c r="S104" i="5"/>
  <c r="R105" i="5"/>
  <c r="S105" i="5"/>
  <c r="R106" i="5"/>
  <c r="S106" i="5"/>
  <c r="R107" i="5"/>
  <c r="S107" i="5"/>
  <c r="R108" i="5"/>
  <c r="U108" i="5"/>
  <c r="S108" i="5"/>
  <c r="R109" i="5"/>
  <c r="S109" i="5"/>
  <c r="R110" i="5"/>
  <c r="S110" i="5"/>
  <c r="R111" i="5"/>
  <c r="S111" i="5"/>
  <c r="R112" i="5"/>
  <c r="S112" i="5"/>
  <c r="R113" i="5"/>
  <c r="S113" i="5"/>
  <c r="R114" i="5"/>
  <c r="S114" i="5"/>
  <c r="R115" i="5"/>
  <c r="S115" i="5"/>
  <c r="R116" i="5"/>
  <c r="U116" i="5"/>
  <c r="S116" i="5"/>
  <c r="R117" i="5"/>
  <c r="S117" i="5"/>
  <c r="R118" i="5"/>
  <c r="S118" i="5"/>
  <c r="R119" i="5"/>
  <c r="S119" i="5"/>
  <c r="R120" i="5"/>
  <c r="S120" i="5"/>
  <c r="R121" i="5"/>
  <c r="S121" i="5"/>
  <c r="R122" i="5"/>
  <c r="S122" i="5"/>
  <c r="R123" i="5"/>
  <c r="S123" i="5"/>
  <c r="R124" i="5"/>
  <c r="U124" i="5"/>
  <c r="S124" i="5"/>
  <c r="R125" i="5"/>
  <c r="S125" i="5"/>
  <c r="R126" i="5"/>
  <c r="S126" i="5"/>
  <c r="R127" i="5"/>
  <c r="S127" i="5"/>
  <c r="R128" i="5"/>
  <c r="S128" i="5"/>
  <c r="R129" i="5"/>
  <c r="S129" i="5"/>
  <c r="R130" i="5"/>
  <c r="S130" i="5"/>
  <c r="R131" i="5"/>
  <c r="S131" i="5"/>
  <c r="R132" i="5"/>
  <c r="U132" i="5"/>
  <c r="S132" i="5"/>
  <c r="R133" i="5"/>
  <c r="S133" i="5"/>
  <c r="R134" i="5"/>
  <c r="U134" i="5"/>
  <c r="S134" i="5"/>
  <c r="R135" i="5"/>
  <c r="S135" i="5"/>
  <c r="R136" i="5"/>
  <c r="S136" i="5"/>
  <c r="R137" i="5"/>
  <c r="S137" i="5"/>
  <c r="R138" i="5"/>
  <c r="U138" i="5"/>
  <c r="S138" i="5"/>
  <c r="R139" i="5"/>
  <c r="S139" i="5"/>
  <c r="R140" i="5"/>
  <c r="S140" i="5"/>
  <c r="R141" i="5"/>
  <c r="S141" i="5"/>
  <c r="R142" i="5"/>
  <c r="S142" i="5"/>
  <c r="R143" i="5"/>
  <c r="S143" i="5"/>
  <c r="R144" i="5"/>
  <c r="S144" i="5"/>
  <c r="R145" i="5"/>
  <c r="S145" i="5"/>
  <c r="R146" i="5"/>
  <c r="S146" i="5"/>
  <c r="R147" i="5"/>
  <c r="S147" i="5"/>
  <c r="R148" i="5"/>
  <c r="S148" i="5"/>
  <c r="R149" i="5"/>
  <c r="S149" i="5"/>
  <c r="R150" i="5"/>
  <c r="S150" i="5"/>
  <c r="R151" i="5"/>
  <c r="S151" i="5"/>
  <c r="R152" i="5"/>
  <c r="S152" i="5"/>
  <c r="R153" i="5"/>
  <c r="S153" i="5"/>
  <c r="R154" i="5"/>
  <c r="U154" i="5"/>
  <c r="S154" i="5"/>
  <c r="R155" i="5"/>
  <c r="S155" i="5"/>
  <c r="R156" i="5"/>
  <c r="S156" i="5"/>
  <c r="R157" i="5"/>
  <c r="S157" i="5"/>
  <c r="R158" i="5"/>
  <c r="S158" i="5"/>
  <c r="R159" i="5"/>
  <c r="S159" i="5"/>
  <c r="R160" i="5"/>
  <c r="S160" i="5"/>
  <c r="R161" i="5"/>
  <c r="S161" i="5"/>
  <c r="R162" i="5"/>
  <c r="S162" i="5"/>
  <c r="R163" i="5"/>
  <c r="S163" i="5"/>
  <c r="R164" i="5"/>
  <c r="S164" i="5"/>
  <c r="R165" i="5"/>
  <c r="S165" i="5"/>
  <c r="R166" i="5"/>
  <c r="S166" i="5"/>
  <c r="R167" i="5"/>
  <c r="S167" i="5"/>
  <c r="R168" i="5"/>
  <c r="S168" i="5"/>
  <c r="R169" i="5"/>
  <c r="S169" i="5"/>
  <c r="R170" i="5"/>
  <c r="S170" i="5"/>
  <c r="R171" i="5"/>
  <c r="S171" i="5"/>
  <c r="R172" i="5"/>
  <c r="S172" i="5"/>
  <c r="R173" i="5"/>
  <c r="S173" i="5"/>
  <c r="R174" i="5"/>
  <c r="S174" i="5"/>
  <c r="R175" i="5"/>
  <c r="S175" i="5"/>
  <c r="R176" i="5"/>
  <c r="S176" i="5"/>
  <c r="R177" i="5"/>
  <c r="S177" i="5"/>
  <c r="R178" i="5"/>
  <c r="S178" i="5"/>
  <c r="R179" i="5"/>
  <c r="S179" i="5"/>
  <c r="R180" i="5"/>
  <c r="S180" i="5"/>
  <c r="R181" i="5"/>
  <c r="U181" i="5"/>
  <c r="S181" i="5"/>
  <c r="R182" i="5"/>
  <c r="S182" i="5"/>
  <c r="R183" i="5"/>
  <c r="S183" i="5"/>
  <c r="R184" i="5"/>
  <c r="S184" i="5"/>
  <c r="R185" i="5"/>
  <c r="S185" i="5"/>
  <c r="R186" i="5"/>
  <c r="S186" i="5"/>
  <c r="R187" i="5"/>
  <c r="S187" i="5"/>
  <c r="R188" i="5"/>
  <c r="U188" i="5"/>
  <c r="S188" i="5"/>
  <c r="R189" i="5"/>
  <c r="S189" i="5"/>
  <c r="R190" i="5"/>
  <c r="U190" i="5"/>
  <c r="S190" i="5"/>
  <c r="R191" i="5"/>
  <c r="U191" i="5"/>
  <c r="S191" i="5"/>
  <c r="R192" i="5"/>
  <c r="S192" i="5"/>
  <c r="R193" i="5"/>
  <c r="S193" i="5"/>
  <c r="R194" i="5"/>
  <c r="S194" i="5"/>
  <c r="R195" i="5"/>
  <c r="U195" i="5"/>
  <c r="S195" i="5"/>
  <c r="R196" i="5"/>
  <c r="S196" i="5"/>
  <c r="R197" i="5"/>
  <c r="S197" i="5"/>
  <c r="R198" i="5"/>
  <c r="U198" i="5"/>
  <c r="S198" i="5"/>
  <c r="R199" i="5"/>
  <c r="U199" i="5"/>
  <c r="S199" i="5"/>
  <c r="R200" i="5"/>
  <c r="S200" i="5"/>
  <c r="R201" i="5"/>
  <c r="S201" i="5"/>
  <c r="R202" i="5"/>
  <c r="S202" i="5"/>
  <c r="R203" i="5"/>
  <c r="U203" i="5"/>
  <c r="S203" i="5"/>
  <c r="R204" i="5"/>
  <c r="S204" i="5"/>
  <c r="R205" i="5"/>
  <c r="S205" i="5"/>
  <c r="R206" i="5"/>
  <c r="U206" i="5"/>
  <c r="S206" i="5"/>
  <c r="R207" i="5"/>
  <c r="S207" i="5"/>
  <c r="R208" i="5"/>
  <c r="S208" i="5"/>
  <c r="R209" i="5"/>
  <c r="S209" i="5"/>
  <c r="R210" i="5"/>
  <c r="S210" i="5"/>
  <c r="R211" i="5"/>
  <c r="S211" i="5"/>
  <c r="R212" i="5"/>
  <c r="S212" i="5"/>
  <c r="R213" i="5"/>
  <c r="U213" i="5"/>
  <c r="S213" i="5"/>
  <c r="R214" i="5"/>
  <c r="U214" i="5"/>
  <c r="S214" i="5"/>
  <c r="R215" i="5"/>
  <c r="S215" i="5"/>
  <c r="R216" i="5"/>
  <c r="S216" i="5"/>
  <c r="R217" i="5"/>
  <c r="S217" i="5"/>
  <c r="R218" i="5"/>
  <c r="S218" i="5"/>
  <c r="R219" i="5"/>
  <c r="S219" i="5"/>
  <c r="R220" i="5"/>
  <c r="S220" i="5"/>
  <c r="R221" i="5"/>
  <c r="S221" i="5"/>
  <c r="R222" i="5"/>
  <c r="U222" i="5"/>
  <c r="S222" i="5"/>
  <c r="R223" i="5"/>
  <c r="S223" i="5"/>
  <c r="R224" i="5"/>
  <c r="S224" i="5"/>
  <c r="R225" i="5"/>
  <c r="S225" i="5"/>
  <c r="R226" i="5"/>
  <c r="U226" i="5"/>
  <c r="S226" i="5"/>
  <c r="S227" i="5"/>
  <c r="R228" i="5"/>
  <c r="S228" i="5"/>
  <c r="R229" i="5"/>
  <c r="S229" i="5"/>
  <c r="R230" i="5"/>
  <c r="U230" i="5"/>
  <c r="S230" i="5"/>
  <c r="R231" i="5"/>
  <c r="S231" i="5"/>
  <c r="R232" i="5"/>
  <c r="S232" i="5"/>
  <c r="R233" i="5"/>
  <c r="S233" i="5"/>
  <c r="R234" i="5"/>
  <c r="U234" i="5"/>
  <c r="S234" i="5"/>
  <c r="R235" i="5"/>
  <c r="S235" i="5"/>
  <c r="R236" i="5"/>
  <c r="S236" i="5"/>
  <c r="R237" i="5"/>
  <c r="S237" i="5"/>
  <c r="R238" i="5"/>
  <c r="S238" i="5"/>
  <c r="R239" i="5"/>
  <c r="S239" i="5"/>
  <c r="R240" i="5"/>
  <c r="S240" i="5"/>
  <c r="R241" i="5"/>
  <c r="S241" i="5"/>
  <c r="R242" i="5"/>
  <c r="S242" i="5"/>
  <c r="R243" i="5"/>
  <c r="S243" i="5"/>
  <c r="R244" i="5"/>
  <c r="S244" i="5"/>
  <c r="R245" i="5"/>
  <c r="U245" i="5"/>
  <c r="S245" i="5"/>
  <c r="R246" i="5"/>
  <c r="S246" i="5"/>
  <c r="R247" i="5"/>
  <c r="S247" i="5"/>
  <c r="R248" i="5"/>
  <c r="S248" i="5"/>
  <c r="R249" i="5"/>
  <c r="S249" i="5"/>
  <c r="R250" i="5"/>
  <c r="S250" i="5"/>
  <c r="R251" i="5"/>
  <c r="S251" i="5"/>
  <c r="R252" i="5"/>
  <c r="U252" i="5"/>
  <c r="S252" i="5"/>
  <c r="R253" i="5"/>
  <c r="U253" i="5"/>
  <c r="S253" i="5"/>
  <c r="R254" i="5"/>
  <c r="U254" i="5"/>
  <c r="S254" i="5"/>
  <c r="R255" i="5"/>
  <c r="S255" i="5"/>
  <c r="R256" i="5"/>
  <c r="S256" i="5"/>
  <c r="R257" i="5"/>
  <c r="S257" i="5"/>
  <c r="R258" i="5"/>
  <c r="S258" i="5"/>
  <c r="R259" i="5"/>
  <c r="S259" i="5"/>
  <c r="R260" i="5"/>
  <c r="S260" i="5"/>
  <c r="R261" i="5"/>
  <c r="S261" i="5"/>
  <c r="R262" i="5"/>
  <c r="U262" i="5"/>
  <c r="S262" i="5"/>
  <c r="R263" i="5"/>
  <c r="S263" i="5"/>
  <c r="R264" i="5"/>
  <c r="S264" i="5"/>
  <c r="R265" i="5"/>
  <c r="S265" i="5"/>
  <c r="R266" i="5"/>
  <c r="S266" i="5"/>
  <c r="R267" i="5"/>
  <c r="S267" i="5"/>
  <c r="R268" i="5"/>
  <c r="S268" i="5"/>
  <c r="R269" i="5"/>
  <c r="S269" i="5"/>
  <c r="R270" i="5"/>
  <c r="S270" i="5"/>
  <c r="R271" i="5"/>
  <c r="S271" i="5"/>
  <c r="R272" i="5"/>
  <c r="S272" i="5"/>
  <c r="R273" i="5"/>
  <c r="S273" i="5"/>
  <c r="R274" i="5"/>
  <c r="S274" i="5"/>
  <c r="R275" i="5"/>
  <c r="S275" i="5"/>
  <c r="R276" i="5"/>
  <c r="U276" i="5"/>
  <c r="S276" i="5"/>
  <c r="R277" i="5"/>
  <c r="S277" i="5"/>
  <c r="R278" i="5"/>
  <c r="S278" i="5"/>
  <c r="R279" i="5"/>
  <c r="S279" i="5"/>
  <c r="R280" i="5"/>
  <c r="S280" i="5"/>
  <c r="R281" i="5"/>
  <c r="S281" i="5"/>
  <c r="R282" i="5"/>
  <c r="S282" i="5"/>
  <c r="R283" i="5"/>
  <c r="S283" i="5"/>
  <c r="R284" i="5"/>
  <c r="S284" i="5"/>
  <c r="R285" i="5"/>
  <c r="S285" i="5"/>
  <c r="R286" i="5"/>
  <c r="S286" i="5"/>
  <c r="R287" i="5"/>
  <c r="S287" i="5"/>
  <c r="R288" i="5"/>
  <c r="S288" i="5"/>
  <c r="R289" i="5"/>
  <c r="S289" i="5"/>
  <c r="R290" i="5"/>
  <c r="S290" i="5"/>
  <c r="R291" i="5"/>
  <c r="S291" i="5"/>
  <c r="R292" i="5"/>
  <c r="U292" i="5"/>
  <c r="S292" i="5"/>
  <c r="R293" i="5"/>
  <c r="S293" i="5"/>
  <c r="R294" i="5"/>
  <c r="S294" i="5"/>
  <c r="R295" i="5"/>
  <c r="S295" i="5"/>
  <c r="R296" i="5"/>
  <c r="S296" i="5"/>
  <c r="R297" i="5"/>
  <c r="S297" i="5"/>
  <c r="R298" i="5"/>
  <c r="S298" i="5"/>
  <c r="R299" i="5"/>
  <c r="S299" i="5"/>
  <c r="R300" i="5"/>
  <c r="S300" i="5"/>
  <c r="R301" i="5"/>
  <c r="S301" i="5"/>
  <c r="R302" i="5"/>
  <c r="S302" i="5"/>
  <c r="R303" i="5"/>
  <c r="S303" i="5"/>
  <c r="R304" i="5"/>
  <c r="S304" i="5"/>
  <c r="R305" i="5"/>
  <c r="S305" i="5"/>
  <c r="R306" i="5"/>
  <c r="S306" i="5"/>
  <c r="R307" i="5"/>
  <c r="S307" i="5"/>
  <c r="R308" i="5"/>
  <c r="U308" i="5"/>
  <c r="S308" i="5"/>
  <c r="R309" i="5"/>
  <c r="S309" i="5"/>
  <c r="R310" i="5"/>
  <c r="S310" i="5"/>
  <c r="R311" i="5"/>
  <c r="S311" i="5"/>
  <c r="R312" i="5"/>
  <c r="S312" i="5"/>
  <c r="R313" i="5"/>
  <c r="S313" i="5"/>
  <c r="R314" i="5"/>
  <c r="S314" i="5"/>
  <c r="R315" i="5"/>
  <c r="S315" i="5"/>
  <c r="R316" i="5"/>
  <c r="U316" i="5"/>
  <c r="S316" i="5"/>
  <c r="R317" i="5"/>
  <c r="S317" i="5"/>
  <c r="R318" i="5"/>
  <c r="U318" i="5"/>
  <c r="S318" i="5"/>
  <c r="R319" i="5"/>
  <c r="S319" i="5"/>
  <c r="R320" i="5"/>
  <c r="S320" i="5"/>
  <c r="R321" i="5"/>
  <c r="U321" i="5"/>
  <c r="S321" i="5"/>
  <c r="R322" i="5"/>
  <c r="S322" i="5"/>
  <c r="R323" i="5"/>
  <c r="S323" i="5"/>
  <c r="R324" i="5"/>
  <c r="S324" i="5"/>
  <c r="R325" i="5"/>
  <c r="U325" i="5"/>
  <c r="S325" i="5"/>
  <c r="R326" i="5"/>
  <c r="U326" i="5"/>
  <c r="S326" i="5"/>
  <c r="R327" i="5"/>
  <c r="S327" i="5"/>
  <c r="R328" i="5"/>
  <c r="S328" i="5"/>
  <c r="R329" i="5"/>
  <c r="S329" i="5"/>
  <c r="R330" i="5"/>
  <c r="S330" i="5"/>
  <c r="R331" i="5"/>
  <c r="S331" i="5"/>
  <c r="R332" i="5"/>
  <c r="S332" i="5"/>
  <c r="R333" i="5"/>
  <c r="S333" i="5"/>
  <c r="R334" i="5"/>
  <c r="U334" i="5"/>
  <c r="S334" i="5"/>
  <c r="R335" i="5"/>
  <c r="S335" i="5"/>
  <c r="R336" i="5"/>
  <c r="S336" i="5"/>
  <c r="R337" i="5"/>
  <c r="S337" i="5"/>
  <c r="R338" i="5"/>
  <c r="U338" i="5"/>
  <c r="S338" i="5"/>
  <c r="R339" i="5"/>
  <c r="S339" i="5"/>
  <c r="R340" i="5"/>
  <c r="S340" i="5"/>
  <c r="R341" i="5"/>
  <c r="S341" i="5"/>
  <c r="R342" i="5"/>
  <c r="U342" i="5"/>
  <c r="S342" i="5"/>
  <c r="R343" i="5"/>
  <c r="U343" i="5"/>
  <c r="S343" i="5"/>
  <c r="R344" i="5"/>
  <c r="S344" i="5"/>
  <c r="R345" i="5"/>
  <c r="S345" i="5"/>
  <c r="R346" i="5"/>
  <c r="S346" i="5"/>
  <c r="R347" i="5"/>
  <c r="S347" i="5"/>
  <c r="R348" i="5"/>
  <c r="S348" i="5"/>
  <c r="R349" i="5"/>
  <c r="S349" i="5"/>
  <c r="R350" i="5"/>
  <c r="U350" i="5"/>
  <c r="S350" i="5"/>
  <c r="R351" i="5"/>
  <c r="S351" i="5"/>
  <c r="R352" i="5"/>
  <c r="S352" i="5"/>
  <c r="R353" i="5"/>
  <c r="S353" i="5"/>
  <c r="R354" i="5"/>
  <c r="U354" i="5"/>
  <c r="S354" i="5"/>
  <c r="R355" i="5"/>
  <c r="S355" i="5"/>
  <c r="R356" i="5"/>
  <c r="S356" i="5"/>
  <c r="R357" i="5"/>
  <c r="U357" i="5"/>
  <c r="S357" i="5"/>
  <c r="R358" i="5"/>
  <c r="U358" i="5"/>
  <c r="S358" i="5"/>
  <c r="R359" i="5"/>
  <c r="U359" i="5"/>
  <c r="S359" i="5"/>
  <c r="R360" i="5"/>
  <c r="S360" i="5"/>
  <c r="R361" i="5"/>
  <c r="S361" i="5"/>
  <c r="R362" i="5"/>
  <c r="S362" i="5"/>
  <c r="R363" i="5"/>
  <c r="S363" i="5"/>
  <c r="R364" i="5"/>
  <c r="U364" i="5"/>
  <c r="S364" i="5"/>
  <c r="R365" i="5"/>
  <c r="U365" i="5"/>
  <c r="S365" i="5"/>
  <c r="R366" i="5"/>
  <c r="S366" i="5"/>
  <c r="R367" i="5"/>
  <c r="S367" i="5"/>
  <c r="R368" i="5"/>
  <c r="S368" i="5"/>
  <c r="R369" i="5"/>
  <c r="S369" i="5"/>
  <c r="R370" i="5"/>
  <c r="S370" i="5"/>
  <c r="R371" i="5"/>
  <c r="S371" i="5"/>
  <c r="R372" i="5"/>
  <c r="S372" i="5"/>
  <c r="R373" i="5"/>
  <c r="U373" i="5"/>
  <c r="S373" i="5"/>
  <c r="R374" i="5"/>
  <c r="S374" i="5"/>
  <c r="R375" i="5"/>
  <c r="S375" i="5"/>
  <c r="R376" i="5"/>
  <c r="S376" i="5"/>
  <c r="R377" i="5"/>
  <c r="S377" i="5"/>
  <c r="R378" i="5"/>
  <c r="S378" i="5"/>
  <c r="R379" i="5"/>
  <c r="S379" i="5"/>
  <c r="R380" i="5"/>
  <c r="U380" i="5"/>
  <c r="S380" i="5"/>
  <c r="R381" i="5"/>
  <c r="S381" i="5"/>
  <c r="R382" i="5"/>
  <c r="U382" i="5"/>
  <c r="S382" i="5"/>
  <c r="R383" i="5"/>
  <c r="S383" i="5"/>
  <c r="R384" i="5"/>
  <c r="S384" i="5"/>
  <c r="R385" i="5"/>
  <c r="S385" i="5"/>
  <c r="R386" i="5"/>
  <c r="U386" i="5"/>
  <c r="S386" i="5"/>
  <c r="R387" i="5"/>
  <c r="S387" i="5"/>
  <c r="R388" i="5"/>
  <c r="S388" i="5"/>
  <c r="R389" i="5"/>
  <c r="S389" i="5"/>
  <c r="R390" i="5"/>
  <c r="U390" i="5"/>
  <c r="S390" i="5"/>
  <c r="R391" i="5"/>
  <c r="S391" i="5"/>
  <c r="R392" i="5"/>
  <c r="S392" i="5"/>
  <c r="R393" i="5"/>
  <c r="S393" i="5"/>
  <c r="R394" i="5"/>
  <c r="S394" i="5"/>
  <c r="R395" i="5"/>
  <c r="S395" i="5"/>
  <c r="R396" i="5"/>
  <c r="S396" i="5"/>
  <c r="R397" i="5"/>
  <c r="S397" i="5"/>
  <c r="R398" i="5"/>
  <c r="S398" i="5"/>
  <c r="R399" i="5"/>
  <c r="S399" i="5"/>
  <c r="R400" i="5"/>
  <c r="S400" i="5"/>
  <c r="R401" i="5"/>
  <c r="S401" i="5"/>
  <c r="R402" i="5"/>
  <c r="S402" i="5"/>
  <c r="R403" i="5"/>
  <c r="S403" i="5"/>
  <c r="R404" i="5"/>
  <c r="S404" i="5"/>
  <c r="R405" i="5"/>
  <c r="S405" i="5"/>
  <c r="R406" i="5"/>
  <c r="S406" i="5"/>
  <c r="R407" i="5"/>
  <c r="S407" i="5"/>
  <c r="R408" i="5"/>
  <c r="S408" i="5"/>
  <c r="S409" i="5"/>
  <c r="R410" i="5"/>
  <c r="S410" i="5"/>
  <c r="S411" i="5"/>
  <c r="R412" i="5"/>
  <c r="S412" i="5"/>
  <c r="R413" i="5"/>
  <c r="S413" i="5"/>
  <c r="R414" i="5"/>
  <c r="S414" i="5"/>
  <c r="R415" i="5"/>
  <c r="S415" i="5"/>
  <c r="R416" i="5"/>
  <c r="S416" i="5"/>
  <c r="R417" i="5"/>
  <c r="S417" i="5"/>
  <c r="R418" i="5"/>
  <c r="S418" i="5"/>
  <c r="R419" i="5"/>
  <c r="S419" i="5"/>
  <c r="R420" i="5"/>
  <c r="S420" i="5"/>
  <c r="R421" i="5"/>
  <c r="U421" i="5"/>
  <c r="S421" i="5"/>
  <c r="R422" i="5"/>
  <c r="S422" i="5"/>
  <c r="R423" i="5"/>
  <c r="S423" i="5"/>
  <c r="R424" i="5"/>
  <c r="S424" i="5"/>
  <c r="R425" i="5"/>
  <c r="S425" i="5"/>
  <c r="R426" i="5"/>
  <c r="S426" i="5"/>
  <c r="R427" i="5"/>
  <c r="S427" i="5"/>
  <c r="R428" i="5"/>
  <c r="S428" i="5"/>
  <c r="R429" i="5"/>
  <c r="S429" i="5"/>
  <c r="R430" i="5"/>
  <c r="S430" i="5"/>
  <c r="R431" i="5"/>
  <c r="S431" i="5"/>
  <c r="R432" i="5"/>
  <c r="S432" i="5"/>
  <c r="R433" i="5"/>
  <c r="S433" i="5"/>
  <c r="R434" i="5"/>
  <c r="S434" i="5"/>
  <c r="R435" i="5"/>
  <c r="S435" i="5"/>
  <c r="R436" i="5"/>
  <c r="S436" i="5"/>
  <c r="R437" i="5"/>
  <c r="S437" i="5"/>
  <c r="R438" i="5"/>
  <c r="S438" i="5"/>
  <c r="R439" i="5"/>
  <c r="S439" i="5"/>
  <c r="R440" i="5"/>
  <c r="S440" i="5"/>
  <c r="R441" i="5"/>
  <c r="S441" i="5"/>
  <c r="R442" i="5"/>
  <c r="U442" i="5"/>
  <c r="S442" i="5"/>
  <c r="R443" i="5"/>
  <c r="S443" i="5"/>
  <c r="R444" i="5"/>
  <c r="U444" i="5"/>
  <c r="S444" i="5"/>
  <c r="R445" i="5"/>
  <c r="S445" i="5"/>
  <c r="R446" i="5"/>
  <c r="U446" i="5"/>
  <c r="S446" i="5"/>
  <c r="R447" i="5"/>
  <c r="S447" i="5"/>
  <c r="R448" i="5"/>
  <c r="S448" i="5"/>
  <c r="R449" i="5"/>
  <c r="S449" i="5"/>
  <c r="R450" i="5"/>
  <c r="S450" i="5"/>
  <c r="R451" i="5"/>
  <c r="S451" i="5"/>
  <c r="R452" i="5"/>
  <c r="S452" i="5"/>
  <c r="R453" i="5"/>
  <c r="S453" i="5"/>
  <c r="R454" i="5"/>
  <c r="U454" i="5"/>
  <c r="S454" i="5"/>
  <c r="R455" i="5"/>
  <c r="U455" i="5"/>
  <c r="S455" i="5"/>
  <c r="R456" i="5"/>
  <c r="S456" i="5"/>
  <c r="R457" i="5"/>
  <c r="S457" i="5"/>
  <c r="R458" i="5"/>
  <c r="U458" i="5"/>
  <c r="S458" i="5"/>
  <c r="R459" i="5"/>
  <c r="S459" i="5"/>
  <c r="R460" i="5"/>
  <c r="S460" i="5"/>
  <c r="R461" i="5"/>
  <c r="S461" i="5"/>
  <c r="R462" i="5"/>
  <c r="U462" i="5"/>
  <c r="S462" i="5"/>
  <c r="R463" i="5"/>
  <c r="S463" i="5"/>
  <c r="R464" i="5"/>
  <c r="S464" i="5"/>
  <c r="R465" i="5"/>
  <c r="S465" i="5"/>
  <c r="R466" i="5"/>
  <c r="U466" i="5"/>
  <c r="S466" i="5"/>
  <c r="R467" i="5"/>
  <c r="S467" i="5"/>
  <c r="R468" i="5"/>
  <c r="S468" i="5"/>
  <c r="R469" i="5"/>
  <c r="U469" i="5"/>
  <c r="S469" i="5"/>
  <c r="R470" i="5"/>
  <c r="U470" i="5"/>
  <c r="S470" i="5"/>
  <c r="R471" i="5"/>
  <c r="S471" i="5"/>
  <c r="R472" i="5"/>
  <c r="S472" i="5"/>
  <c r="R473" i="5"/>
  <c r="S473" i="5"/>
  <c r="R474" i="5"/>
  <c r="S474" i="5"/>
  <c r="R475" i="5"/>
  <c r="S475" i="5"/>
  <c r="R476" i="5"/>
  <c r="S476" i="5"/>
  <c r="R477" i="5"/>
  <c r="S477" i="5"/>
  <c r="R478" i="5"/>
  <c r="U478" i="5"/>
  <c r="S478" i="5"/>
  <c r="R479" i="5"/>
  <c r="S479" i="5"/>
  <c r="R480" i="5"/>
  <c r="S480" i="5"/>
  <c r="R481" i="5"/>
  <c r="S481" i="5"/>
  <c r="R482" i="5"/>
  <c r="U482" i="5"/>
  <c r="S482" i="5"/>
  <c r="R483" i="5"/>
  <c r="S483" i="5"/>
  <c r="R484" i="5"/>
  <c r="S484" i="5"/>
  <c r="R485" i="5"/>
  <c r="U485" i="5"/>
  <c r="S485" i="5"/>
  <c r="R486" i="5"/>
  <c r="U486" i="5"/>
  <c r="S486" i="5"/>
  <c r="R487" i="5"/>
  <c r="S487" i="5"/>
  <c r="R488" i="5"/>
  <c r="S488" i="5"/>
  <c r="R489" i="5"/>
  <c r="S489" i="5"/>
  <c r="R490" i="5"/>
  <c r="S490" i="5"/>
  <c r="R491" i="5"/>
  <c r="S491" i="5"/>
  <c r="R492" i="5"/>
  <c r="S492" i="5"/>
  <c r="R493" i="5"/>
  <c r="U493" i="5"/>
  <c r="S493" i="5"/>
  <c r="R494" i="5"/>
  <c r="S494" i="5"/>
  <c r="R495" i="5"/>
  <c r="S495" i="5"/>
  <c r="R496" i="5"/>
  <c r="S496" i="5"/>
  <c r="R497" i="5"/>
  <c r="S497" i="5"/>
  <c r="R498" i="5"/>
  <c r="S498" i="5"/>
  <c r="R499" i="5"/>
  <c r="S499" i="5"/>
  <c r="R500" i="5"/>
  <c r="S500" i="5"/>
  <c r="R501" i="5"/>
  <c r="S501" i="5"/>
  <c r="R502" i="5"/>
  <c r="S502" i="5"/>
  <c r="R503" i="5"/>
  <c r="S503" i="5"/>
  <c r="R504" i="5"/>
  <c r="S504" i="5"/>
  <c r="R505" i="5"/>
  <c r="S505" i="5"/>
  <c r="R506" i="5"/>
  <c r="S506" i="5"/>
  <c r="R507" i="5"/>
  <c r="S507" i="5"/>
  <c r="R508" i="5"/>
  <c r="U508" i="5"/>
  <c r="S508" i="5"/>
  <c r="R509" i="5"/>
  <c r="S509" i="5"/>
  <c r="R510" i="5"/>
  <c r="U510" i="5"/>
  <c r="S510" i="5"/>
  <c r="R511" i="5"/>
  <c r="S511" i="5"/>
  <c r="R512" i="5"/>
  <c r="S512" i="5"/>
  <c r="R513" i="5"/>
  <c r="S513" i="5"/>
  <c r="R514" i="5"/>
  <c r="S514" i="5"/>
  <c r="R515" i="5"/>
  <c r="S515" i="5"/>
  <c r="R516" i="5"/>
  <c r="S516" i="5"/>
  <c r="R517" i="5"/>
  <c r="S517" i="5"/>
  <c r="R518" i="5"/>
  <c r="U518" i="5"/>
  <c r="S518" i="5"/>
  <c r="R519" i="5"/>
  <c r="S519" i="5"/>
  <c r="R520" i="5"/>
  <c r="S520" i="5"/>
  <c r="R3" i="5"/>
  <c r="S3" i="5"/>
  <c r="R4" i="5"/>
  <c r="U4" i="5"/>
  <c r="S4" i="5"/>
  <c r="R5" i="5"/>
  <c r="S5" i="5"/>
  <c r="R6" i="5"/>
  <c r="S6" i="5"/>
  <c r="R7" i="5"/>
  <c r="S7" i="5"/>
  <c r="R8" i="5"/>
  <c r="S8" i="5"/>
  <c r="R9" i="5"/>
  <c r="S9" i="5"/>
  <c r="R10" i="5"/>
  <c r="S10" i="5"/>
  <c r="R11" i="5"/>
  <c r="S11" i="5"/>
  <c r="R12" i="5"/>
  <c r="S12" i="5"/>
  <c r="R13" i="5"/>
  <c r="U13" i="5"/>
  <c r="S13" i="5"/>
  <c r="R14" i="5"/>
  <c r="S14" i="5"/>
  <c r="S2" i="5"/>
  <c r="R2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M410" i="5" a="1"/>
  <c r="M410" i="5" s="1"/>
  <c r="M411" i="5" a="1"/>
  <c r="M411" i="5" s="1"/>
  <c r="M419" i="5" a="1"/>
  <c r="M419" i="5"/>
  <c r="M420" i="5" a="1"/>
  <c r="M420" i="5"/>
  <c r="M421" i="5" a="1"/>
  <c r="M421" i="5"/>
  <c r="M422" i="5" a="1"/>
  <c r="M422" i="5"/>
  <c r="M423" i="5" a="1"/>
  <c r="M423" i="5"/>
  <c r="M424" i="5" a="1"/>
  <c r="M424" i="5"/>
  <c r="M425" i="5" a="1"/>
  <c r="M425" i="5"/>
  <c r="M426" i="5" a="1"/>
  <c r="M426" i="5"/>
  <c r="M427" i="5" a="1"/>
  <c r="M427" i="5"/>
  <c r="M428" i="5" a="1"/>
  <c r="M428" i="5"/>
  <c r="M429" i="5" a="1"/>
  <c r="M429" i="5"/>
  <c r="M430" i="5" a="1"/>
  <c r="M430" i="5"/>
  <c r="M431" i="5" a="1"/>
  <c r="M431" i="5"/>
  <c r="M432" i="5" a="1"/>
  <c r="M432" i="5"/>
  <c r="M433" i="5" a="1"/>
  <c r="M433" i="5"/>
  <c r="M434" i="5" a="1"/>
  <c r="M434" i="5"/>
  <c r="M435" i="5" a="1"/>
  <c r="M435" i="5"/>
  <c r="M436" i="5" a="1"/>
  <c r="M436" i="5"/>
  <c r="M437" i="5" a="1"/>
  <c r="M437" i="5"/>
  <c r="M438" i="5" a="1"/>
  <c r="M438" i="5"/>
  <c r="M439" i="5" a="1"/>
  <c r="M439" i="5"/>
  <c r="M440" i="5" a="1"/>
  <c r="M440" i="5"/>
  <c r="M441" i="5" a="1"/>
  <c r="M441" i="5"/>
  <c r="M442" i="5" a="1"/>
  <c r="M442" i="5"/>
  <c r="M443" i="5" a="1"/>
  <c r="M443" i="5"/>
  <c r="M444" i="5" a="1"/>
  <c r="M444" i="5"/>
  <c r="M445" i="5" a="1"/>
  <c r="M445" i="5"/>
  <c r="M446" i="5" a="1"/>
  <c r="M446" i="5"/>
  <c r="M447" i="5" a="1"/>
  <c r="M447" i="5"/>
  <c r="M448" i="5" a="1"/>
  <c r="M448" i="5"/>
  <c r="M449" i="5" a="1"/>
  <c r="M449" i="5"/>
  <c r="M450" i="5" a="1"/>
  <c r="M450" i="5"/>
  <c r="M451" i="5" a="1"/>
  <c r="M451" i="5"/>
  <c r="M452" i="5" a="1"/>
  <c r="M452" i="5"/>
  <c r="M453" i="5" a="1"/>
  <c r="M453" i="5"/>
  <c r="M454" i="5" a="1"/>
  <c r="M454" i="5"/>
  <c r="M455" i="5" a="1"/>
  <c r="M455" i="5"/>
  <c r="M456" i="5" a="1"/>
  <c r="M456" i="5"/>
  <c r="M457" i="5" a="1"/>
  <c r="M457" i="5"/>
  <c r="M458" i="5" a="1"/>
  <c r="M458" i="5"/>
  <c r="M459" i="5" a="1"/>
  <c r="M459" i="5"/>
  <c r="M460" i="5" a="1"/>
  <c r="M460" i="5"/>
  <c r="M461" i="5" a="1"/>
  <c r="M461" i="5"/>
  <c r="M462" i="5" a="1"/>
  <c r="M462" i="5"/>
  <c r="M463" i="5" a="1"/>
  <c r="M463" i="5"/>
  <c r="M464" i="5" a="1"/>
  <c r="M464" i="5"/>
  <c r="M465" i="5" a="1"/>
  <c r="M465" i="5"/>
  <c r="M466" i="5" a="1"/>
  <c r="M466" i="5"/>
  <c r="M467" i="5" a="1"/>
  <c r="M467" i="5"/>
  <c r="M468" i="5" a="1"/>
  <c r="M468" i="5"/>
  <c r="M469" i="5" a="1"/>
  <c r="M469" i="5"/>
  <c r="M470" i="5" a="1"/>
  <c r="M470" i="5"/>
  <c r="M471" i="5" a="1"/>
  <c r="M471" i="5"/>
  <c r="M472" i="5" a="1"/>
  <c r="M472" i="5"/>
  <c r="M473" i="5" a="1"/>
  <c r="M473" i="5"/>
  <c r="M474" i="5" a="1"/>
  <c r="M474" i="5"/>
  <c r="M475" i="5" a="1"/>
  <c r="M475" i="5"/>
  <c r="M476" i="5" a="1"/>
  <c r="M476" i="5"/>
  <c r="M477" i="5" a="1"/>
  <c r="M477" i="5"/>
  <c r="M478" i="5" a="1"/>
  <c r="M478" i="5"/>
  <c r="M479" i="5" a="1"/>
  <c r="M479" i="5"/>
  <c r="M480" i="5" a="1"/>
  <c r="M480" i="5"/>
  <c r="M481" i="5" a="1"/>
  <c r="M481" i="5"/>
  <c r="M482" i="5" a="1"/>
  <c r="M482" i="5"/>
  <c r="M483" i="5" a="1"/>
  <c r="M483" i="5"/>
  <c r="M484" i="5" a="1"/>
  <c r="M484" i="5"/>
  <c r="M485" i="5" a="1"/>
  <c r="M485" i="5"/>
  <c r="M486" i="5" a="1"/>
  <c r="M486" i="5"/>
  <c r="M487" i="5" a="1"/>
  <c r="M487" i="5"/>
  <c r="M488" i="5" a="1"/>
  <c r="M488" i="5"/>
  <c r="M489" i="5" a="1"/>
  <c r="M489" i="5"/>
  <c r="M490" i="5" a="1"/>
  <c r="M490" i="5"/>
  <c r="M491" i="5" a="1"/>
  <c r="M491" i="5"/>
  <c r="M492" i="5" a="1"/>
  <c r="M492" i="5"/>
  <c r="M493" i="5" a="1"/>
  <c r="M493" i="5"/>
  <c r="M494" i="5" a="1"/>
  <c r="M494" i="5"/>
  <c r="M495" i="5" a="1"/>
  <c r="M495" i="5"/>
  <c r="M496" i="5" a="1"/>
  <c r="M496" i="5"/>
  <c r="M497" i="5" a="1"/>
  <c r="M497" i="5"/>
  <c r="M498" i="5" a="1"/>
  <c r="M498" i="5"/>
  <c r="M499" i="5" a="1"/>
  <c r="M499" i="5"/>
  <c r="M500" i="5" a="1"/>
  <c r="M500" i="5"/>
  <c r="M501" i="5" a="1"/>
  <c r="M501" i="5"/>
  <c r="M502" i="5" a="1"/>
  <c r="M502" i="5"/>
  <c r="M503" i="5" a="1"/>
  <c r="M503" i="5"/>
  <c r="M504" i="5" a="1"/>
  <c r="M504" i="5"/>
  <c r="M505" i="5" a="1"/>
  <c r="M505" i="5"/>
  <c r="M506" i="5" a="1"/>
  <c r="M506" i="5"/>
  <c r="M507" i="5" a="1"/>
  <c r="M507" i="5"/>
  <c r="M508" i="5" a="1"/>
  <c r="M508" i="5"/>
  <c r="M509" i="5" a="1"/>
  <c r="M509" i="5"/>
  <c r="M510" i="5" a="1"/>
  <c r="M510" i="5"/>
  <c r="M511" i="5" a="1"/>
  <c r="M511" i="5"/>
  <c r="M512" i="5" a="1"/>
  <c r="M512" i="5"/>
  <c r="M513" i="5" a="1"/>
  <c r="M513" i="5"/>
  <c r="M514" i="5" a="1"/>
  <c r="M514" i="5"/>
  <c r="M515" i="5" a="1"/>
  <c r="M515" i="5"/>
  <c r="M516" i="5" a="1"/>
  <c r="M516" i="5"/>
  <c r="M517" i="5" a="1"/>
  <c r="M517" i="5"/>
  <c r="M518" i="5" a="1"/>
  <c r="M518" i="5"/>
  <c r="M519" i="5" a="1"/>
  <c r="M519" i="5"/>
  <c r="M520" i="5" a="1"/>
  <c r="M520" i="5"/>
  <c r="M521" i="5" a="1"/>
  <c r="M521" i="5"/>
  <c r="M522" i="5" a="1"/>
  <c r="M522" i="5"/>
  <c r="M523" i="5" a="1"/>
  <c r="M523" i="5"/>
  <c r="M524" i="5" a="1"/>
  <c r="M524" i="5"/>
  <c r="M525" i="5" a="1"/>
  <c r="M525" i="5"/>
  <c r="M526" i="5" a="1"/>
  <c r="M526" i="5"/>
  <c r="M527" i="5" a="1"/>
  <c r="M527" i="5"/>
  <c r="M528" i="5" a="1"/>
  <c r="M528" i="5"/>
  <c r="M529" i="5" a="1"/>
  <c r="M529" i="5"/>
  <c r="M530" i="5" a="1"/>
  <c r="M530" i="5"/>
  <c r="M531" i="5" a="1"/>
  <c r="M531" i="5"/>
  <c r="M532" i="5" a="1"/>
  <c r="M532" i="5"/>
  <c r="M533" i="5" a="1"/>
  <c r="M533" i="5"/>
  <c r="M534" i="5" a="1"/>
  <c r="M534" i="5"/>
  <c r="M535" i="5" a="1"/>
  <c r="M535" i="5"/>
  <c r="M536" i="5" a="1"/>
  <c r="M536" i="5"/>
  <c r="M537" i="5" a="1"/>
  <c r="M537" i="5"/>
  <c r="M538" i="5" a="1"/>
  <c r="M538" i="5"/>
  <c r="M539" i="5" a="1"/>
  <c r="M539" i="5"/>
  <c r="M540" i="5" a="1"/>
  <c r="M540" i="5"/>
  <c r="M541" i="5" a="1"/>
  <c r="M541" i="5"/>
  <c r="M542" i="5" a="1"/>
  <c r="M542" i="5"/>
  <c r="M543" i="5" a="1"/>
  <c r="M543" i="5"/>
  <c r="A1" i="4" a="1"/>
  <c r="A1" i="4"/>
  <c r="A1" i="3" a="1"/>
  <c r="A1" i="3"/>
  <c r="A1" i="2" a="1"/>
  <c r="A1" i="2"/>
  <c r="A109" i="1"/>
  <c r="A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2" i="5"/>
  <c r="A6" i="5" s="1"/>
  <c r="A8" i="5"/>
  <c r="A19" i="5"/>
  <c r="N2" i="5"/>
  <c r="M317" i="5" a="1"/>
  <c r="M317" i="5" s="1"/>
  <c r="A602" i="1"/>
  <c r="A603" i="1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U42" i="5"/>
  <c r="U34" i="5"/>
  <c r="U26" i="5"/>
  <c r="U517" i="5"/>
  <c r="U509" i="5"/>
  <c r="U501" i="5"/>
  <c r="U477" i="5"/>
  <c r="U461" i="5"/>
  <c r="U453" i="5"/>
  <c r="U445" i="5"/>
  <c r="U437" i="5"/>
  <c r="U429" i="5"/>
  <c r="U413" i="5"/>
  <c r="U405" i="5"/>
  <c r="U397" i="5"/>
  <c r="U389" i="5"/>
  <c r="U381" i="5"/>
  <c r="U349" i="5"/>
  <c r="U341" i="5"/>
  <c r="U293" i="5"/>
  <c r="U14" i="5"/>
  <c r="U6" i="5"/>
  <c r="U165" i="5"/>
  <c r="U5" i="5"/>
  <c r="U519" i="5"/>
  <c r="U511" i="5"/>
  <c r="U503" i="5"/>
  <c r="U495" i="5"/>
  <c r="U487" i="5"/>
  <c r="U479" i="5"/>
  <c r="U471" i="5"/>
  <c r="U463" i="5"/>
  <c r="U447" i="5"/>
  <c r="U439" i="5"/>
  <c r="U431" i="5"/>
  <c r="U423" i="5"/>
  <c r="U415" i="5"/>
  <c r="U407" i="5"/>
  <c r="U399" i="5"/>
  <c r="U391" i="5"/>
  <c r="U383" i="5"/>
  <c r="U375" i="5"/>
  <c r="U367" i="5"/>
  <c r="U351" i="5"/>
  <c r="U335" i="5"/>
  <c r="U327" i="5"/>
  <c r="U319" i="5"/>
  <c r="U311" i="5"/>
  <c r="U303" i="5"/>
  <c r="U295" i="5"/>
  <c r="U287" i="5"/>
  <c r="U279" i="5"/>
  <c r="U271" i="5"/>
  <c r="U263" i="5"/>
  <c r="U255" i="5"/>
  <c r="U247" i="5"/>
  <c r="U239" i="5"/>
  <c r="U231" i="5"/>
  <c r="U223" i="5"/>
  <c r="U215" i="5"/>
  <c r="U207" i="5"/>
  <c r="U183" i="5"/>
  <c r="U175" i="5"/>
  <c r="U167" i="5"/>
  <c r="U159" i="5"/>
  <c r="U151" i="5"/>
  <c r="U143" i="5"/>
  <c r="U135" i="5"/>
  <c r="U127" i="5"/>
  <c r="U119" i="5"/>
  <c r="U111" i="5"/>
  <c r="U103" i="5"/>
  <c r="U95" i="5"/>
  <c r="U87" i="5"/>
  <c r="U79" i="5"/>
  <c r="U71" i="5"/>
  <c r="U55" i="5"/>
  <c r="U47" i="5"/>
  <c r="U39" i="5"/>
  <c r="U31" i="5"/>
  <c r="U23" i="5"/>
  <c r="U15" i="5"/>
  <c r="U333" i="5"/>
  <c r="U317" i="5"/>
  <c r="U309" i="5"/>
  <c r="U301" i="5"/>
  <c r="U285" i="5"/>
  <c r="U277" i="5"/>
  <c r="U269" i="5"/>
  <c r="U261" i="5"/>
  <c r="U237" i="5"/>
  <c r="U229" i="5"/>
  <c r="U221" i="5"/>
  <c r="U205" i="5"/>
  <c r="U197" i="5"/>
  <c r="U189" i="5"/>
  <c r="U173" i="5"/>
  <c r="U157" i="5"/>
  <c r="U149" i="5"/>
  <c r="U141" i="5"/>
  <c r="U125" i="5"/>
  <c r="U117" i="5"/>
  <c r="U516" i="5"/>
  <c r="U500" i="5"/>
  <c r="U492" i="5"/>
  <c r="U484" i="5"/>
  <c r="U476" i="5"/>
  <c r="U468" i="5"/>
  <c r="U460" i="5"/>
  <c r="U452" i="5"/>
  <c r="U436" i="5"/>
  <c r="U428" i="5"/>
  <c r="U420" i="5"/>
  <c r="U412" i="5"/>
  <c r="U404" i="5"/>
  <c r="U396" i="5"/>
  <c r="U388" i="5"/>
  <c r="U372" i="5"/>
  <c r="U356" i="5"/>
  <c r="U348" i="5"/>
  <c r="U340" i="5"/>
  <c r="U332" i="5"/>
  <c r="U324" i="5"/>
  <c r="U300" i="5"/>
  <c r="U284" i="5"/>
  <c r="U268" i="5"/>
  <c r="U260" i="5"/>
  <c r="U244" i="5"/>
  <c r="U236" i="5"/>
  <c r="U228" i="5"/>
  <c r="U220" i="5"/>
  <c r="U212" i="5"/>
  <c r="U204" i="5"/>
  <c r="U196" i="5"/>
  <c r="U180" i="5"/>
  <c r="U172" i="5"/>
  <c r="U164" i="5"/>
  <c r="U156" i="5"/>
  <c r="U148" i="5"/>
  <c r="U140" i="5"/>
  <c r="U2" i="5"/>
  <c r="U7" i="5"/>
  <c r="U126" i="5"/>
  <c r="U118" i="5"/>
  <c r="U110" i="5"/>
  <c r="U102" i="5"/>
  <c r="U78" i="5"/>
  <c r="U70" i="5"/>
  <c r="U62" i="5"/>
  <c r="U54" i="5"/>
  <c r="U46" i="5"/>
  <c r="U38" i="5"/>
  <c r="U22" i="5"/>
  <c r="U133" i="5"/>
  <c r="U109" i="5"/>
  <c r="U93" i="5"/>
  <c r="U85" i="5"/>
  <c r="U77" i="5"/>
  <c r="U61" i="5"/>
  <c r="U53" i="5"/>
  <c r="U45" i="5"/>
  <c r="U37" i="5"/>
  <c r="U29" i="5"/>
  <c r="U21" i="5"/>
  <c r="U12" i="5"/>
  <c r="U403" i="5"/>
  <c r="U283" i="5"/>
  <c r="U163" i="5"/>
  <c r="U11" i="5"/>
  <c r="U514" i="5"/>
  <c r="U506" i="5"/>
  <c r="U498" i="5"/>
  <c r="U490" i="5"/>
  <c r="U474" i="5"/>
  <c r="U450" i="5"/>
  <c r="U434" i="5"/>
  <c r="U426" i="5"/>
  <c r="U410" i="5"/>
  <c r="U402" i="5"/>
  <c r="U394" i="5"/>
  <c r="U378" i="5"/>
  <c r="U370" i="5"/>
  <c r="U362" i="5"/>
  <c r="U346" i="5"/>
  <c r="U330" i="5"/>
  <c r="U322" i="5"/>
  <c r="U314" i="5"/>
  <c r="U306" i="5"/>
  <c r="U298" i="5"/>
  <c r="U282" i="5"/>
  <c r="U274" i="5"/>
  <c r="U266" i="5"/>
  <c r="U258" i="5"/>
  <c r="U250" i="5"/>
  <c r="U242" i="5"/>
  <c r="U218" i="5"/>
  <c r="U210" i="5"/>
  <c r="U202" i="5"/>
  <c r="U194" i="5"/>
  <c r="U186" i="5"/>
  <c r="U178" i="5"/>
  <c r="U170" i="5"/>
  <c r="U146" i="5"/>
  <c r="U130" i="5"/>
  <c r="U122" i="5"/>
  <c r="U114" i="5"/>
  <c r="U106" i="5"/>
  <c r="U90" i="5"/>
  <c r="U82" i="5"/>
  <c r="U74" i="5"/>
  <c r="U66" i="5"/>
  <c r="U58" i="5"/>
  <c r="U50" i="5"/>
  <c r="U18" i="5"/>
  <c r="U513" i="5"/>
  <c r="U505" i="5"/>
  <c r="U489" i="5"/>
  <c r="U473" i="5"/>
  <c r="U465" i="5"/>
  <c r="U449" i="5"/>
  <c r="U441" i="5"/>
  <c r="U433" i="5"/>
  <c r="U417" i="5"/>
  <c r="U401" i="5"/>
  <c r="U385" i="5"/>
  <c r="U377" i="5"/>
  <c r="U361" i="5"/>
  <c r="U353" i="5"/>
  <c r="U337" i="5"/>
  <c r="U313" i="5"/>
  <c r="U305" i="5"/>
  <c r="U297" i="5"/>
  <c r="U289" i="5"/>
  <c r="U281" i="5"/>
  <c r="U257" i="5"/>
  <c r="U217" i="5"/>
  <c r="U209" i="5"/>
  <c r="U193" i="5"/>
  <c r="U185" i="5"/>
  <c r="U177" i="5"/>
  <c r="U161" i="5"/>
  <c r="U153" i="5"/>
  <c r="U145" i="5"/>
  <c r="U129" i="5"/>
  <c r="U121" i="5"/>
  <c r="U113" i="5"/>
  <c r="U105" i="5"/>
  <c r="U89" i="5"/>
  <c r="U81" i="5"/>
  <c r="U65" i="5"/>
  <c r="U57" i="5"/>
  <c r="U49" i="5"/>
  <c r="U41" i="5"/>
  <c r="U33" i="5"/>
  <c r="U17" i="5"/>
  <c r="U520" i="5"/>
  <c r="U512" i="5"/>
  <c r="U504" i="5"/>
  <c r="U496" i="5"/>
  <c r="U488" i="5"/>
  <c r="U480" i="5"/>
  <c r="U456" i="5"/>
  <c r="U448" i="5"/>
  <c r="U440" i="5"/>
  <c r="U432" i="5"/>
  <c r="U424" i="5"/>
  <c r="U416" i="5"/>
  <c r="U408" i="5"/>
  <c r="U384" i="5"/>
  <c r="U376" i="5"/>
  <c r="U368" i="5"/>
  <c r="U360" i="5"/>
  <c r="U352" i="5"/>
  <c r="U344" i="5"/>
  <c r="U328" i="5"/>
  <c r="U312" i="5"/>
  <c r="U304" i="5"/>
  <c r="U296" i="5"/>
  <c r="U288" i="5"/>
  <c r="U280" i="5"/>
  <c r="U264" i="5"/>
  <c r="U256" i="5"/>
  <c r="U240" i="5"/>
  <c r="U232" i="5"/>
  <c r="U224" i="5"/>
  <c r="U216" i="5"/>
  <c r="U200" i="5"/>
  <c r="U192" i="5"/>
  <c r="U184" i="5"/>
  <c r="U168" i="5"/>
  <c r="U160" i="5"/>
  <c r="U152" i="5"/>
  <c r="U136" i="5"/>
  <c r="U128" i="5"/>
  <c r="U120" i="5"/>
  <c r="U112" i="5"/>
  <c r="U104" i="5"/>
  <c r="U32" i="5"/>
  <c r="U8" i="5"/>
  <c r="K2" i="5" a="1"/>
  <c r="K2" i="5"/>
  <c r="H2" i="5" a="1"/>
  <c r="H2" i="5"/>
  <c r="U320" i="5"/>
  <c r="U371" i="5"/>
  <c r="U355" i="5"/>
  <c r="U3" i="5"/>
  <c r="U339" i="5"/>
  <c r="U97" i="5"/>
  <c r="U497" i="5"/>
  <c r="U481" i="5"/>
  <c r="U123" i="5"/>
  <c r="U329" i="5"/>
  <c r="U459" i="5"/>
  <c r="U451" i="5"/>
  <c r="U249" i="5"/>
  <c r="U241" i="5"/>
  <c r="U233" i="5"/>
  <c r="U225" i="5"/>
  <c r="U80" i="5"/>
  <c r="U331" i="5"/>
  <c r="U91" i="5"/>
  <c r="U83" i="5"/>
  <c r="U75" i="5"/>
  <c r="U67" i="5"/>
  <c r="U307" i="5"/>
  <c r="U267" i="5"/>
  <c r="U51" i="5"/>
  <c r="U27" i="5"/>
  <c r="U502" i="5"/>
  <c r="U494" i="5"/>
  <c r="U438" i="5"/>
  <c r="U430" i="5"/>
  <c r="U414" i="5"/>
  <c r="U406" i="5"/>
  <c r="U398" i="5"/>
  <c r="U374" i="5"/>
  <c r="U366" i="5"/>
  <c r="U302" i="5"/>
  <c r="U286" i="5"/>
  <c r="U278" i="5"/>
  <c r="U270" i="5"/>
  <c r="U246" i="5"/>
  <c r="U238" i="5"/>
  <c r="U182" i="5"/>
  <c r="U174" i="5"/>
  <c r="U158" i="5"/>
  <c r="U150" i="5"/>
  <c r="U142" i="5"/>
  <c r="U30" i="5"/>
  <c r="U9" i="5"/>
  <c r="U369" i="5"/>
  <c r="U435" i="5"/>
  <c r="U395" i="5"/>
  <c r="U139" i="5"/>
  <c r="U10" i="5"/>
  <c r="F25" i="5"/>
  <c r="F14" i="5"/>
  <c r="F22" i="5"/>
  <c r="F23" i="5"/>
  <c r="F26" i="5"/>
  <c r="F24" i="5"/>
  <c r="F21" i="5"/>
  <c r="F4" i="5"/>
  <c r="F20" i="5"/>
  <c r="F11" i="5"/>
  <c r="F19" i="5"/>
  <c r="F7" i="5"/>
  <c r="F9" i="5"/>
  <c r="F16" i="5"/>
  <c r="F15" i="5"/>
  <c r="F8" i="5"/>
  <c r="F2" i="5"/>
  <c r="F18" i="5"/>
  <c r="F17" i="5"/>
  <c r="F27" i="5"/>
  <c r="F10" i="5"/>
  <c r="F5" i="5"/>
  <c r="F12" i="5"/>
  <c r="F6" i="5"/>
  <c r="F3" i="5"/>
  <c r="F13" i="5"/>
  <c r="M24" i="5" a="1"/>
  <c r="M24" i="5" s="1"/>
  <c r="M85" i="5" a="1"/>
  <c r="M85" i="5" s="1"/>
  <c r="M142" i="5" a="1"/>
  <c r="M142" i="5" s="1"/>
  <c r="M396" i="5" a="1"/>
  <c r="M396" i="5" s="1"/>
  <c r="M212" i="5" a="1"/>
  <c r="M212" i="5" s="1"/>
  <c r="M381" i="5" a="1"/>
  <c r="M381" i="5" s="1"/>
  <c r="M60" i="5" a="1"/>
  <c r="M60" i="5" s="1"/>
  <c r="M326" i="5" a="1"/>
  <c r="M326" i="5" s="1"/>
  <c r="M222" i="5" a="1"/>
  <c r="M222" i="5" s="1"/>
  <c r="M400" i="5" a="1"/>
  <c r="M400" i="5" s="1"/>
  <c r="M9" i="5" a="1"/>
  <c r="M9" i="5" s="1"/>
  <c r="M62" i="5" a="1"/>
  <c r="M62" i="5" s="1"/>
  <c r="M124" i="5" a="1"/>
  <c r="M124" i="5" s="1"/>
  <c r="M153" i="5" a="1"/>
  <c r="M153" i="5"/>
  <c r="M394" i="5" a="1"/>
  <c r="M394" i="5" s="1"/>
  <c r="M245" i="5" a="1"/>
  <c r="M245" i="5"/>
  <c r="M248" i="5" a="1"/>
  <c r="M248" i="5" s="1"/>
  <c r="M218" i="5" a="1"/>
  <c r="M218" i="5" s="1"/>
  <c r="M358" i="5" a="1"/>
  <c r="M358" i="5" s="1"/>
  <c r="M327" i="5" a="1"/>
  <c r="M327" i="5" s="1"/>
  <c r="M313" i="5" a="1"/>
  <c r="M313" i="5" s="1"/>
  <c r="M390" i="5" a="1"/>
  <c r="M390" i="5" s="1"/>
  <c r="M339" i="5" a="1"/>
  <c r="M339" i="5" s="1"/>
  <c r="M118" i="5" a="1"/>
  <c r="M118" i="5"/>
  <c r="M115" i="5" a="1"/>
  <c r="M115" i="5" s="1"/>
  <c r="M178" i="5" a="1"/>
  <c r="M178" i="5" s="1"/>
  <c r="M57" i="5" a="1"/>
  <c r="M57" i="5" s="1"/>
  <c r="M54" i="5" a="1"/>
  <c r="M54" i="5" s="1"/>
  <c r="M293" i="5" a="1"/>
  <c r="M293" i="5" s="1"/>
  <c r="M198" i="5" a="1"/>
  <c r="M198" i="5" s="1"/>
  <c r="M204" i="5" a="1"/>
  <c r="M204" i="5" s="1"/>
  <c r="M347" i="5" a="1"/>
  <c r="M347" i="5" s="1"/>
  <c r="M240" i="5" a="1"/>
  <c r="M240" i="5" s="1"/>
  <c r="M332" i="5" a="1"/>
  <c r="M332" i="5" s="1"/>
  <c r="M110" i="5" a="1"/>
  <c r="M110" i="5"/>
  <c r="M186" i="5" a="1"/>
  <c r="M186" i="5"/>
  <c r="M37" i="5" a="1"/>
  <c r="M37" i="5" s="1"/>
  <c r="M34" i="5" a="1"/>
  <c r="M34" i="5" s="1"/>
  <c r="M32" i="5" a="1"/>
  <c r="M32" i="5"/>
  <c r="M256" i="5" a="1"/>
  <c r="M256" i="5" s="1"/>
  <c r="M247" i="5" a="1"/>
  <c r="M247" i="5" s="1"/>
  <c r="M335" i="5" a="1"/>
  <c r="M335" i="5" s="1"/>
  <c r="M373" i="5" a="1"/>
  <c r="M373" i="5" s="1"/>
  <c r="M359" i="5" a="1"/>
  <c r="M359" i="5" s="1"/>
  <c r="M261" i="5" a="1"/>
  <c r="M261" i="5" s="1"/>
  <c r="M331" i="5" a="1"/>
  <c r="M331" i="5" s="1"/>
  <c r="M278" i="5" a="1"/>
  <c r="M278" i="5" s="1"/>
  <c r="M391" i="5" a="1"/>
  <c r="M391" i="5" s="1"/>
  <c r="M265" i="5" a="1"/>
  <c r="M265" i="5" s="1"/>
  <c r="M263" i="5" a="1"/>
  <c r="M263" i="5"/>
  <c r="M389" i="5" a="1"/>
  <c r="M389" i="5" s="1"/>
  <c r="M161" i="5" a="1"/>
  <c r="M161" i="5" s="1"/>
  <c r="M65" i="5" a="1"/>
  <c r="M65" i="5"/>
  <c r="M68" i="5" a="1"/>
  <c r="M68" i="5" s="1"/>
  <c r="M10" i="5" a="1"/>
  <c r="M10" i="5" s="1"/>
  <c r="M47" i="5" a="1"/>
  <c r="M47" i="5" s="1"/>
  <c r="M382" i="5" a="1"/>
  <c r="M382" i="5" s="1"/>
  <c r="M380" i="5" a="1"/>
  <c r="M380" i="5" s="1"/>
  <c r="M362" i="5" a="1"/>
  <c r="M362" i="5" s="1"/>
  <c r="M210" i="5" a="1"/>
  <c r="M210" i="5" s="1"/>
  <c r="M249" i="5" a="1"/>
  <c r="M249" i="5" s="1"/>
  <c r="M320" i="5" a="1"/>
  <c r="M320" i="5" s="1"/>
  <c r="M173" i="5" a="1"/>
  <c r="M173" i="5" s="1"/>
  <c r="M114" i="5" a="1"/>
  <c r="M114" i="5"/>
  <c r="M5" i="5" a="1"/>
  <c r="M5" i="5" s="1"/>
  <c r="M294" i="5" a="1"/>
  <c r="M294" i="5" s="1"/>
  <c r="M322" i="5" a="1"/>
  <c r="M322" i="5" s="1"/>
  <c r="M329" i="5" a="1"/>
  <c r="M329" i="5"/>
  <c r="M365" i="5" a="1"/>
  <c r="M365" i="5" s="1"/>
  <c r="M158" i="5" a="1"/>
  <c r="M158" i="5" s="1"/>
  <c r="L2" i="5"/>
  <c r="J2" i="5" s="1" a="1"/>
  <c r="J2" i="5" s="1"/>
  <c r="M77" i="5" a="1"/>
  <c r="M77" i="5" s="1"/>
  <c r="M17" i="5" a="1"/>
  <c r="M17" i="5" s="1"/>
  <c r="M3" i="5" a="1"/>
  <c r="M3" i="5"/>
  <c r="M86" i="5" a="1"/>
  <c r="M86" i="5" s="1"/>
  <c r="M46" i="5" a="1"/>
  <c r="M46" i="5" s="1"/>
  <c r="M74" i="5" a="1"/>
  <c r="M74" i="5" s="1"/>
  <c r="M28" i="5" a="1"/>
  <c r="M28" i="5" s="1"/>
  <c r="M13" i="5" a="1"/>
  <c r="M13" i="5" s="1"/>
  <c r="M6" i="5" a="1"/>
  <c r="M6" i="5" s="1"/>
  <c r="M75" i="5" a="1"/>
  <c r="M75" i="5"/>
  <c r="M39" i="5" a="1"/>
  <c r="M39" i="5" s="1"/>
  <c r="M337" i="5" a="1"/>
  <c r="M337" i="5" s="1"/>
  <c r="M302" i="5" a="1"/>
  <c r="M302" i="5" s="1"/>
  <c r="M213" i="5" a="1"/>
  <c r="M213" i="5" s="1"/>
  <c r="M286" i="5" a="1"/>
  <c r="M286" i="5"/>
  <c r="M211" i="5" a="1"/>
  <c r="M211" i="5" s="1"/>
  <c r="M197" i="5" a="1"/>
  <c r="M197" i="5" s="1"/>
  <c r="M237" i="5" a="1"/>
  <c r="M237" i="5" s="1"/>
  <c r="M348" i="5" a="1"/>
  <c r="M348" i="5" s="1"/>
  <c r="M334" i="5" a="1"/>
  <c r="M334" i="5" s="1"/>
  <c r="M369" i="5" a="1"/>
  <c r="M369" i="5" s="1"/>
  <c r="M299" i="5" a="1"/>
  <c r="M299" i="5"/>
  <c r="M126" i="5" a="1"/>
  <c r="M126" i="5"/>
  <c r="M187" i="5" a="1"/>
  <c r="M187" i="5"/>
  <c r="M15" i="5" a="1"/>
  <c r="M15" i="5" s="1"/>
  <c r="M48" i="5" a="1"/>
  <c r="M48" i="5" s="1"/>
  <c r="M340" i="5" a="1"/>
  <c r="M340" i="5"/>
  <c r="M136" i="5" a="1"/>
  <c r="M136" i="5" s="1"/>
  <c r="M346" i="5" a="1"/>
  <c r="M346" i="5" s="1"/>
  <c r="M349" i="5" a="1"/>
  <c r="M349" i="5"/>
  <c r="M72" i="5" a="1"/>
  <c r="M72" i="5" s="1"/>
  <c r="M56" i="5" a="1"/>
  <c r="M56" i="5" s="1"/>
  <c r="M162" i="5" a="1"/>
  <c r="M162" i="5" s="1"/>
  <c r="M184" i="5" a="1"/>
  <c r="M184" i="5" s="1"/>
  <c r="M196" i="5" a="1"/>
  <c r="M196" i="5"/>
  <c r="M341" i="5" a="1"/>
  <c r="M341" i="5"/>
  <c r="M88" i="5" a="1"/>
  <c r="M88" i="5" s="1"/>
  <c r="M40" i="5" a="1"/>
  <c r="M40" i="5" s="1"/>
  <c r="M137" i="5" a="1"/>
  <c r="M137" i="5"/>
  <c r="M91" i="5" a="1"/>
  <c r="M91" i="5" s="1"/>
  <c r="M79" i="5" a="1"/>
  <c r="M79" i="5" s="1"/>
  <c r="M44" i="5" a="1"/>
  <c r="M44" i="5" s="1"/>
  <c r="M361" i="5" a="1"/>
  <c r="M361" i="5" s="1"/>
  <c r="M290" i="5" a="1"/>
  <c r="M290" i="5"/>
  <c r="M393" i="5" a="1"/>
  <c r="M393" i="5" s="1"/>
  <c r="M84" i="5" a="1"/>
  <c r="M84" i="5" s="1"/>
  <c r="M257" i="5" a="1"/>
  <c r="M257" i="5" s="1"/>
  <c r="M11" i="5" a="1"/>
  <c r="M11" i="5" s="1"/>
  <c r="M64" i="5" a="1"/>
  <c r="M64" i="5" s="1"/>
  <c r="M304" i="5" a="1"/>
  <c r="M304" i="5"/>
  <c r="M297" i="5" a="1"/>
  <c r="M297" i="5" s="1"/>
  <c r="M321" i="5" a="1"/>
  <c r="M321" i="5" s="1"/>
  <c r="M87" i="5" a="1"/>
  <c r="M87" i="5" s="1"/>
  <c r="M80" i="5" a="1"/>
  <c r="M80" i="5" s="1"/>
  <c r="M100" i="5" a="1"/>
  <c r="M100" i="5"/>
  <c r="M305" i="5" a="1"/>
  <c r="M305" i="5" s="1"/>
  <c r="M307" i="5" a="1"/>
  <c r="M307" i="5" s="1"/>
  <c r="M367" i="5" a="1"/>
  <c r="M367" i="5" s="1"/>
  <c r="U422" i="5"/>
  <c r="U418" i="5"/>
  <c r="U310" i="5"/>
  <c r="U294" i="5"/>
  <c r="U290" i="5"/>
  <c r="U166" i="5"/>
  <c r="U162" i="5"/>
  <c r="M123" i="5" a="1"/>
  <c r="M123" i="5"/>
  <c r="M195" i="5" a="1"/>
  <c r="M195" i="5" s="1"/>
  <c r="M168" i="5" a="1"/>
  <c r="M168" i="5"/>
  <c r="M155" i="5" a="1"/>
  <c r="M155" i="5" s="1"/>
  <c r="M138" i="5" a="1"/>
  <c r="M138" i="5" s="1"/>
  <c r="M156" i="5" a="1"/>
  <c r="M156" i="5" s="1"/>
  <c r="M134" i="5" a="1"/>
  <c r="M134" i="5" s="1"/>
  <c r="M157" i="5" a="1"/>
  <c r="M157" i="5" s="1"/>
  <c r="M109" i="5" a="1"/>
  <c r="M109" i="5"/>
  <c r="M181" i="5" a="1"/>
  <c r="M181" i="5" s="1"/>
  <c r="M185" i="5" a="1"/>
  <c r="M185" i="5" s="1"/>
  <c r="A21" i="5"/>
  <c r="M188" i="5" a="1"/>
  <c r="M188" i="5"/>
  <c r="M242" i="5" a="1"/>
  <c r="M242" i="5"/>
  <c r="M342" i="5" a="1"/>
  <c r="M342" i="5" s="1"/>
  <c r="M267" i="5" a="1"/>
  <c r="M267" i="5" s="1"/>
  <c r="M268" i="5" a="1"/>
  <c r="M268" i="5"/>
  <c r="M26" i="5" a="1"/>
  <c r="M26" i="5"/>
  <c r="M8" i="5" a="1"/>
  <c r="M8" i="5" s="1"/>
  <c r="M70" i="5" a="1"/>
  <c r="M70" i="5" s="1"/>
  <c r="M175" i="5" a="1"/>
  <c r="M175" i="5" s="1"/>
  <c r="M2" i="5" l="1" a="1"/>
  <c r="M2" i="5" s="1"/>
  <c r="A10" i="5"/>
  <c r="A14" i="5" a="1"/>
  <c r="A14" i="5" s="1"/>
  <c r="A15" i="5" s="1"/>
  <c r="M274" i="5" a="1"/>
  <c r="M274" i="5" s="1"/>
  <c r="M279" i="5" a="1"/>
  <c r="M279" i="5" s="1"/>
  <c r="M144" i="5" a="1"/>
  <c r="M144" i="5" s="1"/>
  <c r="M149" i="5" a="1"/>
  <c r="M149" i="5" s="1"/>
  <c r="M343" i="5" a="1"/>
  <c r="M343" i="5" s="1"/>
  <c r="M270" i="5" a="1"/>
  <c r="M270" i="5" s="1"/>
  <c r="M392" i="5" a="1"/>
  <c r="M392" i="5" s="1"/>
  <c r="M52" i="5" a="1"/>
  <c r="M52" i="5" s="1"/>
  <c r="M402" i="5" a="1"/>
  <c r="M402" i="5" s="1"/>
  <c r="M43" i="5" a="1"/>
  <c r="M43" i="5" s="1"/>
  <c r="M159" i="5" a="1"/>
  <c r="M159" i="5" s="1"/>
  <c r="M69" i="5" a="1"/>
  <c r="M69" i="5" s="1"/>
  <c r="M266" i="5" a="1"/>
  <c r="M266" i="5" s="1"/>
  <c r="M314" i="5" a="1"/>
  <c r="M314" i="5" s="1"/>
  <c r="M61" i="5" a="1"/>
  <c r="M61" i="5" s="1"/>
  <c r="M76" i="5" a="1"/>
  <c r="M76" i="5" s="1"/>
  <c r="M225" i="5" a="1"/>
  <c r="M225" i="5" s="1"/>
  <c r="M292" i="5" a="1"/>
  <c r="M292" i="5" s="1"/>
  <c r="M351" i="5" a="1"/>
  <c r="M351" i="5" s="1"/>
  <c r="M93" i="5" a="1"/>
  <c r="M93" i="5" s="1"/>
  <c r="M254" i="5" a="1"/>
  <c r="M254" i="5" s="1"/>
  <c r="M78" i="5" a="1"/>
  <c r="M78" i="5" s="1"/>
  <c r="M111" i="5" a="1"/>
  <c r="M111" i="5" s="1"/>
  <c r="M243" i="5" a="1"/>
  <c r="M243" i="5" s="1"/>
  <c r="M262" i="5" a="1"/>
  <c r="M262" i="5" s="1"/>
  <c r="M202" i="5" a="1"/>
  <c r="M202" i="5" s="1"/>
  <c r="M217" i="5" a="1"/>
  <c r="M217" i="5" s="1"/>
  <c r="M191" i="5" a="1"/>
  <c r="M191" i="5" s="1"/>
  <c r="M166" i="5" a="1"/>
  <c r="M166" i="5" s="1"/>
  <c r="M174" i="5" a="1"/>
  <c r="M174" i="5" s="1"/>
  <c r="M143" i="5" a="1"/>
  <c r="M143" i="5" s="1"/>
  <c r="M386" i="5" a="1"/>
  <c r="M386" i="5" s="1"/>
  <c r="M82" i="5" a="1"/>
  <c r="M82" i="5" s="1"/>
  <c r="M189" i="5" a="1"/>
  <c r="M189" i="5" s="1"/>
  <c r="M296" i="5" a="1"/>
  <c r="M296" i="5" s="1"/>
  <c r="M92" i="5" a="1"/>
  <c r="M92" i="5" s="1"/>
  <c r="M275" i="5" a="1"/>
  <c r="M275" i="5" s="1"/>
  <c r="M55" i="5" a="1"/>
  <c r="M55" i="5" s="1"/>
  <c r="M147" i="5" a="1"/>
  <c r="M147" i="5" s="1"/>
  <c r="M258" i="5" a="1"/>
  <c r="M258" i="5" s="1"/>
  <c r="M291" i="5" a="1"/>
  <c r="M291" i="5" s="1"/>
  <c r="M66" i="5" a="1"/>
  <c r="M66" i="5" s="1"/>
  <c r="M129" i="5" a="1"/>
  <c r="M129" i="5" s="1"/>
  <c r="M377" i="5" a="1"/>
  <c r="M377" i="5" s="1"/>
  <c r="M235" i="5" a="1"/>
  <c r="M235" i="5" s="1"/>
  <c r="M38" i="5" a="1"/>
  <c r="M38" i="5" s="1"/>
  <c r="M193" i="5" a="1"/>
  <c r="M193" i="5" s="1"/>
  <c r="M397" i="5" a="1"/>
  <c r="M397" i="5" s="1"/>
  <c r="M384" i="5" a="1"/>
  <c r="M384" i="5" s="1"/>
  <c r="M29" i="5" a="1"/>
  <c r="M29" i="5" s="1"/>
  <c r="M280" i="5" a="1"/>
  <c r="M280" i="5" s="1"/>
  <c r="M272" i="5" a="1"/>
  <c r="M272" i="5" s="1"/>
  <c r="M226" i="5" a="1"/>
  <c r="M226" i="5" s="1"/>
  <c r="M107" i="5" a="1"/>
  <c r="M107" i="5" s="1"/>
  <c r="M112" i="5" a="1"/>
  <c r="M112" i="5" s="1"/>
  <c r="M376" i="5" a="1"/>
  <c r="M376" i="5" s="1"/>
  <c r="M232" i="5" a="1"/>
  <c r="M232" i="5" s="1"/>
  <c r="M95" i="5" a="1"/>
  <c r="M95" i="5" s="1"/>
  <c r="M207" i="5" a="1"/>
  <c r="M207" i="5" s="1"/>
  <c r="M383" i="5" a="1"/>
  <c r="M383" i="5" s="1"/>
  <c r="M364" i="5" a="1"/>
  <c r="M364" i="5" s="1"/>
  <c r="M338" i="5" a="1"/>
  <c r="M338" i="5" s="1"/>
  <c r="M241" i="5" a="1"/>
  <c r="M241" i="5" s="1"/>
  <c r="M284" i="5" a="1"/>
  <c r="M284" i="5" s="1"/>
  <c r="M101" i="5" a="1"/>
  <c r="M101" i="5" s="1"/>
  <c r="M150" i="5" a="1"/>
  <c r="M150" i="5" s="1"/>
  <c r="M116" i="5" a="1"/>
  <c r="M116" i="5" s="1"/>
  <c r="M418" i="5" a="1"/>
  <c r="M418" i="5" s="1"/>
  <c r="M407" i="5" a="1"/>
  <c r="M407" i="5" s="1"/>
  <c r="M170" i="5" a="1"/>
  <c r="M170" i="5" s="1"/>
  <c r="M119" i="5" a="1"/>
  <c r="M119" i="5" s="1"/>
  <c r="M117" i="5" a="1"/>
  <c r="M117" i="5" s="1"/>
  <c r="M94" i="5" a="1"/>
  <c r="M94" i="5" s="1"/>
  <c r="M250" i="5" a="1"/>
  <c r="M250" i="5" s="1"/>
  <c r="M194" i="5" a="1"/>
  <c r="M194" i="5" s="1"/>
  <c r="M219" i="5" a="1"/>
  <c r="M219" i="5" s="1"/>
  <c r="M354" i="5" a="1"/>
  <c r="M354" i="5" s="1"/>
  <c r="M22" i="5" a="1"/>
  <c r="M22" i="5" s="1"/>
  <c r="M167" i="5" a="1"/>
  <c r="M167" i="5" s="1"/>
  <c r="M353" i="5" a="1"/>
  <c r="M353" i="5" s="1"/>
  <c r="M323" i="5" a="1"/>
  <c r="M323" i="5" s="1"/>
  <c r="M319" i="5" a="1"/>
  <c r="M319" i="5" s="1"/>
  <c r="M102" i="5" a="1"/>
  <c r="M102" i="5" s="1"/>
  <c r="M35" i="5" a="1"/>
  <c r="M35" i="5" s="1"/>
  <c r="M19" i="5" a="1"/>
  <c r="M19" i="5" s="1"/>
  <c r="M50" i="5" a="1"/>
  <c r="M50" i="5" s="1"/>
  <c r="M214" i="5" a="1"/>
  <c r="M214" i="5" s="1"/>
  <c r="M67" i="5" a="1"/>
  <c r="M67" i="5" s="1"/>
  <c r="M122" i="5" a="1"/>
  <c r="M122" i="5" s="1"/>
  <c r="M259" i="5" a="1"/>
  <c r="M259" i="5" s="1"/>
  <c r="M224" i="5" a="1"/>
  <c r="M224" i="5" s="1"/>
  <c r="M14" i="5" a="1"/>
  <c r="M14" i="5" s="1"/>
  <c r="M146" i="5" a="1"/>
  <c r="M146" i="5" s="1"/>
  <c r="M325" i="5" a="1"/>
  <c r="M325" i="5" s="1"/>
  <c r="M199" i="5" a="1"/>
  <c r="M199" i="5" s="1"/>
  <c r="M251" i="5" a="1"/>
  <c r="M251" i="5" s="1"/>
  <c r="M4" i="5" a="1"/>
  <c r="M4" i="5" s="1"/>
  <c r="M106" i="5" a="1"/>
  <c r="M106" i="5" s="1"/>
  <c r="M276" i="5" a="1"/>
  <c r="M276" i="5" s="1"/>
  <c r="M333" i="5" a="1"/>
  <c r="M333" i="5" s="1"/>
  <c r="M350" i="5" a="1"/>
  <c r="M350" i="5" s="1"/>
  <c r="M53" i="5" a="1"/>
  <c r="M53" i="5" s="1"/>
  <c r="M151" i="5" a="1"/>
  <c r="M151" i="5" s="1"/>
  <c r="M355" i="5" a="1"/>
  <c r="M355" i="5" s="1"/>
  <c r="M316" i="5" a="1"/>
  <c r="M316" i="5" s="1"/>
  <c r="M281" i="5" a="1"/>
  <c r="M281" i="5" s="1"/>
  <c r="M154" i="5" a="1"/>
  <c r="M154" i="5" s="1"/>
  <c r="M273" i="5" a="1"/>
  <c r="M273" i="5" s="1"/>
  <c r="M406" i="5" a="1"/>
  <c r="M406" i="5" s="1"/>
  <c r="A12" i="5"/>
  <c r="M113" i="5" a="1"/>
  <c r="M113" i="5" s="1"/>
  <c r="M130" i="5" a="1"/>
  <c r="M130" i="5" s="1"/>
  <c r="M190" i="5" a="1"/>
  <c r="M190" i="5" s="1"/>
  <c r="M140" i="5" a="1"/>
  <c r="M140" i="5" s="1"/>
  <c r="M308" i="5" a="1"/>
  <c r="M308" i="5" s="1"/>
  <c r="M104" i="5" a="1"/>
  <c r="M104" i="5" s="1"/>
  <c r="M310" i="5" a="1"/>
  <c r="M310" i="5" s="1"/>
  <c r="M203" i="5" a="1"/>
  <c r="M203" i="5" s="1"/>
  <c r="M357" i="5" a="1"/>
  <c r="M357" i="5" s="1"/>
  <c r="M356" i="5" a="1"/>
  <c r="M356" i="5" s="1"/>
  <c r="M63" i="5" a="1"/>
  <c r="M63" i="5" s="1"/>
  <c r="M103" i="5" a="1"/>
  <c r="M103" i="5" s="1"/>
  <c r="M133" i="5" a="1"/>
  <c r="M133" i="5" s="1"/>
  <c r="M312" i="5" a="1"/>
  <c r="M312" i="5" s="1"/>
  <c r="M208" i="5" a="1"/>
  <c r="M208" i="5" s="1"/>
  <c r="M260" i="5" a="1"/>
  <c r="M260" i="5" s="1"/>
  <c r="M352" i="5" a="1"/>
  <c r="M352" i="5" s="1"/>
  <c r="M99" i="5" a="1"/>
  <c r="M99" i="5" s="1"/>
  <c r="M42" i="5" a="1"/>
  <c r="M42" i="5" s="1"/>
  <c r="M7" i="5" a="1"/>
  <c r="M7" i="5" s="1"/>
  <c r="M125" i="5" a="1"/>
  <c r="M125" i="5" s="1"/>
  <c r="M345" i="5" a="1"/>
  <c r="M345" i="5" s="1"/>
  <c r="M41" i="5" a="1"/>
  <c r="M41" i="5" s="1"/>
  <c r="M182" i="5" a="1"/>
  <c r="M182" i="5" s="1"/>
  <c r="M264" i="5" a="1"/>
  <c r="M264" i="5" s="1"/>
  <c r="M311" i="5" a="1"/>
  <c r="M311" i="5" s="1"/>
  <c r="M90" i="5" a="1"/>
  <c r="M90" i="5" s="1"/>
  <c r="M179" i="5" a="1"/>
  <c r="M179" i="5" s="1"/>
  <c r="M228" i="5" a="1"/>
  <c r="M228" i="5" s="1"/>
  <c r="M282" i="5" a="1"/>
  <c r="M282" i="5" s="1"/>
  <c r="M121" i="5" a="1"/>
  <c r="M121" i="5" s="1"/>
  <c r="M223" i="5" a="1"/>
  <c r="M223" i="5" s="1"/>
  <c r="M375" i="5" a="1"/>
  <c r="M375" i="5" s="1"/>
  <c r="M141" i="5" a="1"/>
  <c r="M141" i="5" s="1"/>
  <c r="M231" i="5" a="1"/>
  <c r="M231" i="5" s="1"/>
  <c r="M306" i="5" a="1"/>
  <c r="M306" i="5" s="1"/>
  <c r="M239" i="5" a="1"/>
  <c r="M239" i="5" s="1"/>
  <c r="M227" i="5" a="1"/>
  <c r="M227" i="5" s="1"/>
  <c r="M318" i="5" a="1"/>
  <c r="M318" i="5" s="1"/>
  <c r="M253" i="5" a="1"/>
  <c r="M253" i="5" s="1"/>
  <c r="M16" i="5" a="1"/>
  <c r="M16" i="5" s="1"/>
  <c r="M31" i="5" a="1"/>
  <c r="M31" i="5" s="1"/>
  <c r="M415" i="5" a="1"/>
  <c r="M415" i="5" s="1"/>
  <c r="M192" i="5" a="1"/>
  <c r="M192" i="5" s="1"/>
  <c r="M183" i="5" a="1"/>
  <c r="M183" i="5" s="1"/>
  <c r="M344" i="5" a="1"/>
  <c r="M344" i="5" s="1"/>
  <c r="M160" i="5" a="1"/>
  <c r="M160" i="5" s="1"/>
  <c r="M298" i="5" a="1"/>
  <c r="M298" i="5" s="1"/>
  <c r="M300" i="5" a="1"/>
  <c r="M300" i="5" s="1"/>
  <c r="M105" i="5" a="1"/>
  <c r="M105" i="5" s="1"/>
  <c r="M164" i="5" a="1"/>
  <c r="M164" i="5" s="1"/>
  <c r="M371" i="5" a="1"/>
  <c r="M371" i="5" s="1"/>
  <c r="M368" i="5" a="1"/>
  <c r="M368" i="5" s="1"/>
  <c r="M81" i="5" a="1"/>
  <c r="M81" i="5" s="1"/>
  <c r="M234" i="5" a="1"/>
  <c r="M234" i="5" s="1"/>
  <c r="M120" i="5" a="1"/>
  <c r="M120" i="5" s="1"/>
  <c r="M236" i="5" a="1"/>
  <c r="M236" i="5" s="1"/>
  <c r="M395" i="5" a="1"/>
  <c r="M395" i="5" s="1"/>
  <c r="M98" i="5" a="1"/>
  <c r="M98" i="5" s="1"/>
  <c r="M23" i="5" a="1"/>
  <c r="M23" i="5" s="1"/>
  <c r="M71" i="5" a="1"/>
  <c r="M71" i="5" s="1"/>
  <c r="M135" i="5" a="1"/>
  <c r="M135" i="5" s="1"/>
  <c r="M315" i="5" a="1"/>
  <c r="M315" i="5" s="1"/>
  <c r="M12" i="5" a="1"/>
  <c r="M12" i="5" s="1"/>
  <c r="M221" i="5" a="1"/>
  <c r="M221" i="5" s="1"/>
  <c r="M233" i="5" a="1"/>
  <c r="M233" i="5" s="1"/>
  <c r="M206" i="5" a="1"/>
  <c r="M206" i="5" s="1"/>
  <c r="M27" i="5" a="1"/>
  <c r="M27" i="5" s="1"/>
  <c r="M89" i="5" a="1"/>
  <c r="M89" i="5" s="1"/>
  <c r="M131" i="5" a="1"/>
  <c r="M131" i="5" s="1"/>
  <c r="M289" i="5" a="1"/>
  <c r="M289" i="5" s="1"/>
  <c r="M399" i="5" a="1"/>
  <c r="M399" i="5" s="1"/>
  <c r="M295" i="5" a="1"/>
  <c r="M295" i="5" s="1"/>
  <c r="M20" i="5" a="1"/>
  <c r="M20" i="5" s="1"/>
  <c r="M49" i="5" a="1"/>
  <c r="M49" i="5" s="1"/>
  <c r="M152" i="5" a="1"/>
  <c r="M152" i="5" s="1"/>
  <c r="M277" i="5" a="1"/>
  <c r="M277" i="5" s="1"/>
  <c r="M172" i="5" a="1"/>
  <c r="M172" i="5" s="1"/>
  <c r="M171" i="5" a="1"/>
  <c r="M171" i="5" s="1"/>
  <c r="M215" i="5" a="1"/>
  <c r="M215" i="5" s="1"/>
  <c r="M374" i="5" a="1"/>
  <c r="M374" i="5" s="1"/>
  <c r="M176" i="5" a="1"/>
  <c r="M176" i="5" s="1"/>
  <c r="M96" i="5" a="1"/>
  <c r="M96" i="5" s="1"/>
  <c r="M271" i="5" a="1"/>
  <c r="M271" i="5" s="1"/>
  <c r="M414" i="5" a="1"/>
  <c r="M414" i="5" s="1"/>
  <c r="I13" i="5"/>
  <c r="I20" i="5"/>
  <c r="I4" i="5"/>
  <c r="I25" i="5"/>
  <c r="I6" i="5"/>
  <c r="I8" i="5"/>
  <c r="I5" i="5"/>
  <c r="I16" i="5"/>
  <c r="I10" i="5"/>
  <c r="I18" i="5"/>
  <c r="I12" i="5"/>
  <c r="I2" i="5"/>
  <c r="I3" i="5"/>
  <c r="I24" i="5"/>
  <c r="I27" i="5"/>
  <c r="I22" i="5"/>
  <c r="I15" i="5"/>
  <c r="I17" i="5"/>
  <c r="I21" i="5"/>
  <c r="I19" i="5"/>
  <c r="I9" i="5"/>
  <c r="I11" i="5"/>
  <c r="I23" i="5"/>
  <c r="I26" i="5"/>
  <c r="I7" i="5"/>
  <c r="I14" i="5"/>
  <c r="M163" i="5" a="1"/>
  <c r="M163" i="5" s="1"/>
  <c r="M127" i="5" a="1"/>
  <c r="M127" i="5" s="1"/>
  <c r="M238" i="5" a="1"/>
  <c r="M238" i="5" s="1"/>
  <c r="M372" i="5" a="1"/>
  <c r="M372" i="5" s="1"/>
  <c r="M201" i="5" a="1"/>
  <c r="M201" i="5" s="1"/>
  <c r="M25" i="5" a="1"/>
  <c r="M25" i="5" s="1"/>
  <c r="M30" i="5" a="1"/>
  <c r="M30" i="5" s="1"/>
  <c r="M169" i="5" a="1"/>
  <c r="M169" i="5" s="1"/>
  <c r="M360" i="5" a="1"/>
  <c r="M360" i="5" s="1"/>
  <c r="M255" i="5" a="1"/>
  <c r="M255" i="5" s="1"/>
  <c r="M363" i="5" a="1"/>
  <c r="M363" i="5" s="1"/>
  <c r="M244" i="5" a="1"/>
  <c r="M244" i="5" s="1"/>
  <c r="M328" i="5" a="1"/>
  <c r="M328" i="5" s="1"/>
  <c r="M246" i="5" a="1"/>
  <c r="M246" i="5" s="1"/>
  <c r="M387" i="5" a="1"/>
  <c r="M387" i="5" s="1"/>
  <c r="M73" i="5" a="1"/>
  <c r="M73" i="5" s="1"/>
  <c r="M97" i="5" a="1"/>
  <c r="M97" i="5" s="1"/>
  <c r="M36" i="5" a="1"/>
  <c r="M36" i="5" s="1"/>
  <c r="M128" i="5" a="1"/>
  <c r="M128" i="5" s="1"/>
  <c r="M180" i="5" a="1"/>
  <c r="M180" i="5" s="1"/>
  <c r="M252" i="5" a="1"/>
  <c r="M252" i="5" s="1"/>
  <c r="M398" i="5" a="1"/>
  <c r="M398" i="5" s="1"/>
  <c r="M336" i="5" a="1"/>
  <c r="M336" i="5" s="1"/>
  <c r="M303" i="5" a="1"/>
  <c r="M303" i="5" s="1"/>
  <c r="M370" i="5" a="1"/>
  <c r="M370" i="5" s="1"/>
  <c r="M216" i="5" a="1"/>
  <c r="M216" i="5" s="1"/>
  <c r="M285" i="5" a="1"/>
  <c r="M285" i="5" s="1"/>
  <c r="M324" i="5" a="1"/>
  <c r="M324" i="5" s="1"/>
  <c r="M21" i="5" a="1"/>
  <c r="M21" i="5" s="1"/>
  <c r="M59" i="5" a="1"/>
  <c r="M59" i="5" s="1"/>
  <c r="M45" i="5" a="1"/>
  <c r="M45" i="5" s="1"/>
  <c r="M177" i="5" a="1"/>
  <c r="M177" i="5" s="1"/>
  <c r="M145" i="5" a="1"/>
  <c r="M145" i="5" s="1"/>
  <c r="M148" i="5" a="1"/>
  <c r="M148" i="5" s="1"/>
  <c r="M220" i="5" a="1"/>
  <c r="M220" i="5" s="1"/>
  <c r="M229" i="5" a="1"/>
  <c r="M229" i="5" s="1"/>
  <c r="M378" i="5" a="1"/>
  <c r="M378" i="5" s="1"/>
  <c r="M385" i="5" a="1"/>
  <c r="M385" i="5" s="1"/>
  <c r="M269" i="5" a="1"/>
  <c r="M269" i="5" s="1"/>
  <c r="M18" i="5" a="1"/>
  <c r="M18" i="5" s="1"/>
  <c r="M83" i="5" a="1"/>
  <c r="M83" i="5" s="1"/>
  <c r="M108" i="5" a="1"/>
  <c r="M108" i="5" s="1"/>
  <c r="M165" i="5" a="1"/>
  <c r="M165" i="5" s="1"/>
  <c r="M288" i="5" a="1"/>
  <c r="M288" i="5" s="1"/>
  <c r="M301" i="5" a="1"/>
  <c r="M301" i="5" s="1"/>
  <c r="M379" i="5" a="1"/>
  <c r="M379" i="5" s="1"/>
  <c r="M230" i="5" a="1"/>
  <c r="M230" i="5" s="1"/>
  <c r="M205" i="5" a="1"/>
  <c r="M205" i="5" s="1"/>
  <c r="M401" i="5" a="1"/>
  <c r="M401" i="5" s="1"/>
  <c r="M287" i="5" a="1"/>
  <c r="M287" i="5" s="1"/>
  <c r="M330" i="5" a="1"/>
  <c r="M330" i="5" s="1"/>
  <c r="M388" i="5" a="1"/>
  <c r="M388" i="5" s="1"/>
  <c r="M366" i="5" a="1"/>
  <c r="M366" i="5" s="1"/>
  <c r="M132" i="5" a="1"/>
  <c r="M132" i="5" s="1"/>
  <c r="M58" i="5" a="1"/>
  <c r="M58" i="5" s="1"/>
  <c r="M309" i="5" a="1"/>
  <c r="M309" i="5" s="1"/>
  <c r="M200" i="5" a="1"/>
  <c r="M200" i="5" s="1"/>
  <c r="M51" i="5" a="1"/>
  <c r="M51" i="5" s="1"/>
  <c r="M209" i="5" a="1"/>
  <c r="M209" i="5" s="1"/>
  <c r="M283" i="5" a="1"/>
  <c r="M283" i="5" s="1"/>
  <c r="M139" i="5" a="1"/>
  <c r="M139" i="5" s="1"/>
  <c r="M33" i="5" a="1"/>
  <c r="M33" i="5" s="1"/>
  <c r="M417" i="5" a="1"/>
  <c r="M417" i="5" s="1"/>
  <c r="M413" i="5" a="1"/>
  <c r="M413" i="5" s="1"/>
  <c r="M409" i="5" a="1"/>
  <c r="M409" i="5" s="1"/>
  <c r="M405" i="5" a="1"/>
  <c r="M405" i="5" s="1"/>
  <c r="M416" i="5" a="1"/>
  <c r="M416" i="5" s="1"/>
  <c r="M412" i="5" a="1"/>
  <c r="M412" i="5" s="1"/>
  <c r="M408" i="5" a="1"/>
  <c r="M408" i="5" s="1"/>
  <c r="A23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<sst xmlns="http://schemas.openxmlformats.org/spreadsheetml/2006/main" count="1799" uniqueCount="1790">
  <si>
    <t>Madeline L'Engle</t>
  </si>
  <si>
    <t>A Wrinkle in Time</t>
  </si>
  <si>
    <t>A Wind in the Door</t>
  </si>
  <si>
    <t>A Swiftly Tilting Planet</t>
  </si>
  <si>
    <t>Many Waters</t>
  </si>
  <si>
    <t>The Arm of the Starfish</t>
  </si>
  <si>
    <t>Dragons in the Water</t>
  </si>
  <si>
    <t>A House Like a Lotus</t>
  </si>
  <si>
    <t>Christopher Paolini</t>
  </si>
  <si>
    <t>Eragon</t>
  </si>
  <si>
    <t>Eldest</t>
  </si>
  <si>
    <t>Brisinger</t>
  </si>
  <si>
    <t>Inheritance</t>
  </si>
  <si>
    <t>Rick Riordan</t>
  </si>
  <si>
    <t>The Lightning Thief</t>
  </si>
  <si>
    <t>The Sea of Monsters</t>
  </si>
  <si>
    <t>The Titan's Curse</t>
  </si>
  <si>
    <t>The Battle of the Labyrinth</t>
  </si>
  <si>
    <t>The Last Olympian</t>
  </si>
  <si>
    <t>The Demigod Diaries</t>
  </si>
  <si>
    <t>The Lost Hero</t>
  </si>
  <si>
    <t>The Son of Neptune</t>
  </si>
  <si>
    <t>The Mark of Athena</t>
  </si>
  <si>
    <t>The House of Hades</t>
  </si>
  <si>
    <t>The Blood of Olympus</t>
  </si>
  <si>
    <t>The Hidden Oracle</t>
  </si>
  <si>
    <t>The Dark Prophecy</t>
  </si>
  <si>
    <t>The Red Pyramid</t>
  </si>
  <si>
    <t>The Throne of Fire</t>
  </si>
  <si>
    <t>The Serpent's Shadow</t>
  </si>
  <si>
    <t>The Sword of Summer</t>
  </si>
  <si>
    <t>The Hammer of Thor</t>
  </si>
  <si>
    <t>The Ship of the Dead</t>
  </si>
  <si>
    <t>Brian Jaques</t>
  </si>
  <si>
    <t>Redwall</t>
  </si>
  <si>
    <t>Mossflower</t>
  </si>
  <si>
    <t>Mattimeo</t>
  </si>
  <si>
    <t>Mariel of Redwall</t>
  </si>
  <si>
    <t>Salamandastron</t>
  </si>
  <si>
    <t>Martin the Warrior</t>
  </si>
  <si>
    <t>The Bellmaker</t>
  </si>
  <si>
    <t>Outcast of Redwall</t>
  </si>
  <si>
    <t>Pearls of Lutra</t>
  </si>
  <si>
    <t>The Long Patrol</t>
  </si>
  <si>
    <t>Marlfox</t>
  </si>
  <si>
    <t>The Legend of Luke</t>
  </si>
  <si>
    <t>Lord Brocktree</t>
  </si>
  <si>
    <t>Taggerung</t>
  </si>
  <si>
    <t>Triss</t>
  </si>
  <si>
    <t>Loamhedge</t>
  </si>
  <si>
    <t>Rakkety Tam</t>
  </si>
  <si>
    <t>High Rhulain</t>
  </si>
  <si>
    <t>Eulalia!</t>
  </si>
  <si>
    <t>Doomwyte</t>
  </si>
  <si>
    <t>The Sable Quean</t>
  </si>
  <si>
    <t>The Rogue Crew</t>
  </si>
  <si>
    <t>Castaways of the Flying Dutchman</t>
  </si>
  <si>
    <t>The Angel's Command</t>
  </si>
  <si>
    <t>Ursula Le Guin</t>
  </si>
  <si>
    <t>A Wizard of Earthsea</t>
  </si>
  <si>
    <t>The Tombs of Atuan</t>
  </si>
  <si>
    <t>The Farthest Shore</t>
  </si>
  <si>
    <t>Tehanu</t>
  </si>
  <si>
    <t>Tales from Earthsea</t>
  </si>
  <si>
    <t>The Other Wind</t>
  </si>
  <si>
    <t>The Lathe of Heaven</t>
  </si>
  <si>
    <t>Seth Stephens-Davidowitz</t>
  </si>
  <si>
    <t>Everybody Lies</t>
  </si>
  <si>
    <t>C.S. Lewis</t>
  </si>
  <si>
    <t>The Magicians Nephew</t>
  </si>
  <si>
    <t>The Lion, the Witch and the Wardrobe</t>
  </si>
  <si>
    <t>Prince Caspian</t>
  </si>
  <si>
    <t>The Voyage of the Dawn Treader</t>
  </si>
  <si>
    <t>The Silver Chair</t>
  </si>
  <si>
    <t>The Horse and His Boy</t>
  </si>
  <si>
    <t>The Last Battle</t>
  </si>
  <si>
    <t>Mere Christianity</t>
  </si>
  <si>
    <t>The Abolition of Man</t>
  </si>
  <si>
    <t>James Choung</t>
  </si>
  <si>
    <t>Real Life</t>
  </si>
  <si>
    <t>Aldous Huxley</t>
  </si>
  <si>
    <t>A Brave New World</t>
  </si>
  <si>
    <t>Foundation</t>
  </si>
  <si>
    <t>Foundation and Empire</t>
  </si>
  <si>
    <t>Second Foundation</t>
  </si>
  <si>
    <t>Foundation's Edge</t>
  </si>
  <si>
    <t>Foundation and Earth</t>
  </si>
  <si>
    <t>The Last Question</t>
  </si>
  <si>
    <t>JRR Tolkien</t>
  </si>
  <si>
    <t>The Hobbit</t>
  </si>
  <si>
    <t>The Fellowship of the Ring</t>
  </si>
  <si>
    <t>The Two Towers</t>
  </si>
  <si>
    <t>The Return of the King</t>
  </si>
  <si>
    <t>The Children of Húrín</t>
  </si>
  <si>
    <t>Susan Cooper</t>
  </si>
  <si>
    <t>Over Sea, Under Stone</t>
  </si>
  <si>
    <t>The Dark Is Rising</t>
  </si>
  <si>
    <t>Greenwitch</t>
  </si>
  <si>
    <t>The Grey King</t>
  </si>
  <si>
    <t>Silver on the Tree</t>
  </si>
  <si>
    <t>The Boggart</t>
  </si>
  <si>
    <t>Angie Sage</t>
  </si>
  <si>
    <t>Magyk</t>
  </si>
  <si>
    <t>Flyte</t>
  </si>
  <si>
    <t>Physik</t>
  </si>
  <si>
    <t>Queste</t>
  </si>
  <si>
    <t>Syren</t>
  </si>
  <si>
    <t>Darke</t>
  </si>
  <si>
    <t>Fyre</t>
  </si>
  <si>
    <t>PathFinder</t>
  </si>
  <si>
    <t>SandRider</t>
  </si>
  <si>
    <t>StarChaser</t>
  </si>
  <si>
    <t>Ingrid Law</t>
  </si>
  <si>
    <t>Savvy</t>
  </si>
  <si>
    <t>Scumble</t>
  </si>
  <si>
    <t>Frank Herbert</t>
  </si>
  <si>
    <t>Dune</t>
  </si>
  <si>
    <t>Dune Messiah</t>
  </si>
  <si>
    <t>Children of Dune</t>
  </si>
  <si>
    <t>God Emperor of Dune</t>
  </si>
  <si>
    <t>The Bulterian Jihad</t>
  </si>
  <si>
    <t>The Machine Crusade</t>
  </si>
  <si>
    <t>The Battle of Corrin</t>
  </si>
  <si>
    <t>The Sisterhood of Dune</t>
  </si>
  <si>
    <t>Mentants of Dune</t>
  </si>
  <si>
    <t>Hause Atreides</t>
  </si>
  <si>
    <t>House Harkonnen</t>
  </si>
  <si>
    <t>James Dashner</t>
  </si>
  <si>
    <t>The Maze Runner</t>
  </si>
  <si>
    <t>The Scorch Trials</t>
  </si>
  <si>
    <t>The Death Cure</t>
  </si>
  <si>
    <t>The Kill Order</t>
  </si>
  <si>
    <t>The Fever Code</t>
  </si>
  <si>
    <t>The Journal of Curious Letters</t>
  </si>
  <si>
    <t>The Hunt for Dark Infinity</t>
  </si>
  <si>
    <t>The Blade of Shattered Hope</t>
  </si>
  <si>
    <t>The Void of Mist and Hope?</t>
  </si>
  <si>
    <t>The Eye of Minds</t>
  </si>
  <si>
    <t>The Rule of Thoughts</t>
  </si>
  <si>
    <t>The Game of Lives</t>
  </si>
  <si>
    <t>Margaret Peterson Haddix</t>
  </si>
  <si>
    <t>Among the Hidden</t>
  </si>
  <si>
    <t>Among the Impostors</t>
  </si>
  <si>
    <t>Among the Betrayed</t>
  </si>
  <si>
    <t>Among the Barons</t>
  </si>
  <si>
    <t>Among the Brave</t>
  </si>
  <si>
    <t>Among the Enemy</t>
  </si>
  <si>
    <t>Among the Free</t>
  </si>
  <si>
    <t>Found</t>
  </si>
  <si>
    <t>Sent</t>
  </si>
  <si>
    <t>Sabotaged</t>
  </si>
  <si>
    <t>Torn</t>
  </si>
  <si>
    <t>Caught</t>
  </si>
  <si>
    <t>Risked</t>
  </si>
  <si>
    <t>Revealed</t>
  </si>
  <si>
    <t>Redeemed</t>
  </si>
  <si>
    <t>Running Out of Time</t>
  </si>
  <si>
    <t>Leaving Fishers</t>
  </si>
  <si>
    <t>Just Ella</t>
  </si>
  <si>
    <t>Turnabout</t>
  </si>
  <si>
    <t>Escape from Memory</t>
  </si>
  <si>
    <t>The House on the Gulf</t>
  </si>
  <si>
    <t>Double Identity</t>
  </si>
  <si>
    <t>Claim to Fame</t>
  </si>
  <si>
    <t>D.J. MacHale</t>
  </si>
  <si>
    <t>The Merchant of Death</t>
  </si>
  <si>
    <t>The Lost City of Faar</t>
  </si>
  <si>
    <t>The Never War </t>
  </si>
  <si>
    <t>The Reality Bug </t>
  </si>
  <si>
    <t>Black Water</t>
  </si>
  <si>
    <t>The Rivers of Zadaa </t>
  </si>
  <si>
    <t>The Quillan Games </t>
  </si>
  <si>
    <t>The Pilgrims of Rayne </t>
  </si>
  <si>
    <t xml:space="preserve">Raven Rise </t>
  </si>
  <si>
    <t>The Soldiers of Halla</t>
  </si>
  <si>
    <t>Markus Zuzak</t>
  </si>
  <si>
    <t>The Book Thief</t>
  </si>
  <si>
    <t>Suzanne Collins</t>
  </si>
  <si>
    <t>The Hunger Games</t>
  </si>
  <si>
    <t>Catching Fire</t>
  </si>
  <si>
    <t>Mockingjay</t>
  </si>
  <si>
    <t>Gregor the Overlander</t>
  </si>
  <si>
    <t>The Prophecy of Bane</t>
  </si>
  <si>
    <t>The Curse of the Warmbloods</t>
  </si>
  <si>
    <t>The Marks of Secret</t>
  </si>
  <si>
    <t>The Code of Claw</t>
  </si>
  <si>
    <t>Lois Lowry</t>
  </si>
  <si>
    <t>The Giver</t>
  </si>
  <si>
    <t>Gathering Blue</t>
  </si>
  <si>
    <t>The Messenger</t>
  </si>
  <si>
    <t>Son</t>
  </si>
  <si>
    <t>Number the Stars</t>
  </si>
  <si>
    <t>The Willoughbys</t>
  </si>
  <si>
    <t>Cornelia Funke</t>
  </si>
  <si>
    <t>The Thief Lord</t>
  </si>
  <si>
    <t>Dragon Rider</t>
  </si>
  <si>
    <t>The Griffin's Feather</t>
  </si>
  <si>
    <t>Inkheart</t>
  </si>
  <si>
    <t>Inkspell</t>
  </si>
  <si>
    <t>Inkdeath</t>
  </si>
  <si>
    <t>Brian Sanderson</t>
  </si>
  <si>
    <t>The Final Empire</t>
  </si>
  <si>
    <t>The Well of Ascension</t>
  </si>
  <si>
    <t>The Hero of Ages</t>
  </si>
  <si>
    <t>Charles Stross</t>
  </si>
  <si>
    <t>The Atrocity Archives</t>
  </si>
  <si>
    <t>The Jennifer Morgue</t>
  </si>
  <si>
    <t>The Fuller Memorandum</t>
  </si>
  <si>
    <t>The Apocalypse Codex</t>
  </si>
  <si>
    <t>The Rhesus Chart</t>
  </si>
  <si>
    <t>The Annihilation Score</t>
  </si>
  <si>
    <t>The Nightmare Stacks</t>
  </si>
  <si>
    <t>The Delerium Debrief</t>
  </si>
  <si>
    <t>The Labyrinth Index</t>
  </si>
  <si>
    <t>Down on the Farm</t>
  </si>
  <si>
    <t>Equoid</t>
  </si>
  <si>
    <t>Ridley Pearson and Dave Barry</t>
  </si>
  <si>
    <t>Peter and the Star Catchers</t>
  </si>
  <si>
    <t>Peter and the Shadow Thieves</t>
  </si>
  <si>
    <t>Peter and the Secret of Rundoon</t>
  </si>
  <si>
    <t>Peter and the Sword of Mercy</t>
  </si>
  <si>
    <t>J.K. Rowling</t>
  </si>
  <si>
    <t>Harry Potter and the Sorcerer's Stone</t>
  </si>
  <si>
    <t>Harry Potter and the Chamber of Secrets</t>
  </si>
  <si>
    <t>Harry Potter and the Prisoner of Azkaban</t>
  </si>
  <si>
    <t>Harry Potter and the Goblet of Fire</t>
  </si>
  <si>
    <t>Harry Potter and the Order of the Phoenix</t>
  </si>
  <si>
    <t>Harry Potter and the Half-Blood Prince</t>
  </si>
  <si>
    <t>Harry Potter and the Deathly Hallows</t>
  </si>
  <si>
    <t>Dragonquest</t>
  </si>
  <si>
    <t>Dragonflight</t>
  </si>
  <si>
    <t>The White Dragon</t>
  </si>
  <si>
    <t>Dragonsdawn</t>
  </si>
  <si>
    <t>Dragonsong</t>
  </si>
  <si>
    <t>Dragonsinger</t>
  </si>
  <si>
    <t>Dragondrums</t>
  </si>
  <si>
    <t>Andrew Clements</t>
  </si>
  <si>
    <t xml:space="preserve">The School Story </t>
  </si>
  <si>
    <t>The Janitor's Boy</t>
  </si>
  <si>
    <t>A Night in the Woods</t>
  </si>
  <si>
    <t>Things not Seen</t>
  </si>
  <si>
    <t>Things Hoped For</t>
  </si>
  <si>
    <t>Robert O'Brien</t>
  </si>
  <si>
    <t>Mrs. Frisby and the Rats of NIMH</t>
  </si>
  <si>
    <t>Lillian Jackson Braun</t>
  </si>
  <si>
    <t>The Cat Who Went up the Creek</t>
  </si>
  <si>
    <t>The Cat Who Could Read Backwards</t>
  </si>
  <si>
    <t>The Cat Who Sniffed Glue</t>
  </si>
  <si>
    <t>The Cat Who Tailed a Thief</t>
  </si>
  <si>
    <t>The Cat Who Sang for the Birds</t>
  </si>
  <si>
    <t>The Cat Who Dropped a Bombshell</t>
  </si>
  <si>
    <t>The Cat Who Had 60 Whiskers</t>
  </si>
  <si>
    <t>Elizabeth Enright</t>
  </si>
  <si>
    <t>Gone-Away Lake</t>
  </si>
  <si>
    <t>Return to Gone-Away</t>
  </si>
  <si>
    <t>Frances Burnett</t>
  </si>
  <si>
    <t>The Secret Garden</t>
  </si>
  <si>
    <t>A Little Princess</t>
  </si>
  <si>
    <t>Johann Wyss</t>
  </si>
  <si>
    <t>Swiss Family Robinson</t>
  </si>
  <si>
    <t>Anna Sewell</t>
  </si>
  <si>
    <t>Black Beauty</t>
  </si>
  <si>
    <t>Marguerite Henry</t>
  </si>
  <si>
    <t>Misty of Chincoteague</t>
  </si>
  <si>
    <t>Stormy, Misty's Foal</t>
  </si>
  <si>
    <t>Brighty of the Grand Canyon</t>
  </si>
  <si>
    <t>Gaudenzia, Pride of the Palio</t>
  </si>
  <si>
    <t>Black Gold</t>
  </si>
  <si>
    <t>White Stallion of Lipizzia</t>
  </si>
  <si>
    <t>Brown Sunshine of Sawdust Valley</t>
  </si>
  <si>
    <t>Cinnabar, the One O'Clock Fox</t>
  </si>
  <si>
    <t>King of the Wind</t>
  </si>
  <si>
    <t>Sea Star</t>
  </si>
  <si>
    <t>Misty's Twilight</t>
  </si>
  <si>
    <t>Jeffery Dean</t>
  </si>
  <si>
    <t>The Fight of Your Life</t>
  </si>
  <si>
    <t>Watch This</t>
  </si>
  <si>
    <t>Gary Paulsen</t>
  </si>
  <si>
    <t>Hatchet</t>
  </si>
  <si>
    <t>Brian's Winter</t>
  </si>
  <si>
    <t>Dogsong</t>
  </si>
  <si>
    <t>The River</t>
  </si>
  <si>
    <t>Canyons</t>
  </si>
  <si>
    <t>Woodsong</t>
  </si>
  <si>
    <t>Brian's Hunt</t>
  </si>
  <si>
    <t>Brian's Return</t>
  </si>
  <si>
    <t>The Time Hackers</t>
  </si>
  <si>
    <t>Lawn Boy</t>
  </si>
  <si>
    <t>Lawn Boy Returns</t>
  </si>
  <si>
    <t>Laura Wilder</t>
  </si>
  <si>
    <t>Little House on the Prairie</t>
  </si>
  <si>
    <t>Farmer Boy</t>
  </si>
  <si>
    <t>Little Town on the Prairie</t>
  </si>
  <si>
    <t>On the Banks of Plum Creek</t>
  </si>
  <si>
    <t>By the Shores of Silver Lake</t>
  </si>
  <si>
    <t>The Long Winter</t>
  </si>
  <si>
    <t>The First Four Years</t>
  </si>
  <si>
    <t>These Happy Golden Years</t>
  </si>
  <si>
    <t>West from Home</t>
  </si>
  <si>
    <t>Cristopher Curtis</t>
  </si>
  <si>
    <t>Bud, Not Buddy</t>
  </si>
  <si>
    <t>Bernard Evslin</t>
  </si>
  <si>
    <t>The Trojan War</t>
  </si>
  <si>
    <t>Robert McCloskey</t>
  </si>
  <si>
    <t>Homer Price</t>
  </si>
  <si>
    <t>More Homer Price</t>
  </si>
  <si>
    <t>Kenneth Thomasma</t>
  </si>
  <si>
    <t>Amee-Nah</t>
  </si>
  <si>
    <t>Moho Wat</t>
  </si>
  <si>
    <t>Naya Nuki</t>
  </si>
  <si>
    <t>Edith Hunter</t>
  </si>
  <si>
    <t>Child of the Silent Night</t>
  </si>
  <si>
    <t>Michael Bond</t>
  </si>
  <si>
    <t>A Bear Called Paddington</t>
  </si>
  <si>
    <t>Roald Dahl</t>
  </si>
  <si>
    <t>The Witches</t>
  </si>
  <si>
    <t>Danny, Champion of the World</t>
  </si>
  <si>
    <t>James and the Giant Peach</t>
  </si>
  <si>
    <t>Matilda</t>
  </si>
  <si>
    <t>The BFG</t>
  </si>
  <si>
    <t>Willy Wonka</t>
  </si>
  <si>
    <t>Charlie and the Great Glass Elevator</t>
  </si>
  <si>
    <t>The Twits</t>
  </si>
  <si>
    <t>Boy</t>
  </si>
  <si>
    <t>Esio Trot</t>
  </si>
  <si>
    <t>George's Marvellous Medicine</t>
  </si>
  <si>
    <t>The Wonderful Story of Henry Sugar</t>
  </si>
  <si>
    <t>Elizabeth Yates</t>
  </si>
  <si>
    <t>Amos Fortune, Free Man</t>
  </si>
  <si>
    <t>Mary Shelly</t>
  </si>
  <si>
    <t>Frankenstein's Monster</t>
  </si>
  <si>
    <t>Jenny Nimmo</t>
  </si>
  <si>
    <t>Midnight for Charlie Bone</t>
  </si>
  <si>
    <t>The Time Twister</t>
  </si>
  <si>
    <t xml:space="preserve">The Blue Boa </t>
  </si>
  <si>
    <t>The Castle of Mirrors</t>
  </si>
  <si>
    <t>Charlie Bone and the Hidden King</t>
  </si>
  <si>
    <t>Charlie Bone and the shadow of Badlock</t>
  </si>
  <si>
    <t>Charlie Bone and the Red Knight</t>
  </si>
  <si>
    <t>Michael Buckley</t>
  </si>
  <si>
    <t>The Fairy-Tale Detectives</t>
  </si>
  <si>
    <t>The Unusual Suspects</t>
  </si>
  <si>
    <t>The Problem Child</t>
  </si>
  <si>
    <t>Once Upon a Crime</t>
  </si>
  <si>
    <t>Magic and Other Misdemeanors</t>
  </si>
  <si>
    <t>Tales from the Hood</t>
  </si>
  <si>
    <t>The Everafter War</t>
  </si>
  <si>
    <t>The Inside Story</t>
  </si>
  <si>
    <t>The Council of Mirrors</t>
  </si>
  <si>
    <t>Clive Cussler</t>
  </si>
  <si>
    <t>Arctic Drift</t>
  </si>
  <si>
    <t>Black Wind</t>
  </si>
  <si>
    <t>Treasure of Khan</t>
  </si>
  <si>
    <t>Flood Tide</t>
  </si>
  <si>
    <t>Terry Brooks</t>
  </si>
  <si>
    <t>Armageddon's Children</t>
  </si>
  <si>
    <t>The Elves of Cintra</t>
  </si>
  <si>
    <t>The First King of Shannara</t>
  </si>
  <si>
    <t>Allanon's Quest</t>
  </si>
  <si>
    <t>The Sword of Shannara</t>
  </si>
  <si>
    <t>The Black Irix</t>
  </si>
  <si>
    <t>The Elfstones of Shannara</t>
  </si>
  <si>
    <t>The Wishsong of Shannara</t>
  </si>
  <si>
    <t>Kristin Cashore</t>
  </si>
  <si>
    <t>Graceling</t>
  </si>
  <si>
    <t>Bitterblue</t>
  </si>
  <si>
    <t>Fire</t>
  </si>
  <si>
    <t>Chris D'lacey</t>
  </si>
  <si>
    <t>The Fire Within</t>
  </si>
  <si>
    <t>Icefire</t>
  </si>
  <si>
    <t>Fire Star</t>
  </si>
  <si>
    <t>The Fire Eternal</t>
  </si>
  <si>
    <t>Dark Fire</t>
  </si>
  <si>
    <t>Fire World</t>
  </si>
  <si>
    <t>The fire Ascending</t>
  </si>
  <si>
    <t>Katherine Applegate</t>
  </si>
  <si>
    <t>The Invasion</t>
  </si>
  <si>
    <t>The Visitor</t>
  </si>
  <si>
    <t>The Encounter</t>
  </si>
  <si>
    <t>The Message</t>
  </si>
  <si>
    <t>The Predator</t>
  </si>
  <si>
    <t>The Capture</t>
  </si>
  <si>
    <t>The Stranger</t>
  </si>
  <si>
    <t>The Alien</t>
  </si>
  <si>
    <t>The Secret</t>
  </si>
  <si>
    <t>The Android</t>
  </si>
  <si>
    <t>The Forgotten</t>
  </si>
  <si>
    <t>The Reaction</t>
  </si>
  <si>
    <t>The Change</t>
  </si>
  <si>
    <t>The Unknown</t>
  </si>
  <si>
    <t>The Escape</t>
  </si>
  <si>
    <t>The Warning</t>
  </si>
  <si>
    <t>The Decision</t>
  </si>
  <si>
    <t>The Departure</t>
  </si>
  <si>
    <t>The Discovery</t>
  </si>
  <si>
    <t>The Threat</t>
  </si>
  <si>
    <t>The Solution</t>
  </si>
  <si>
    <t>The Suspicion</t>
  </si>
  <si>
    <t>The Extreme</t>
  </si>
  <si>
    <t>The Attack</t>
  </si>
  <si>
    <t>The Exposed</t>
  </si>
  <si>
    <t>The Sickness</t>
  </si>
  <si>
    <t>The Reunion</t>
  </si>
  <si>
    <t>The Conspiracy</t>
  </si>
  <si>
    <t>The Separation</t>
  </si>
  <si>
    <t>The Illusion</t>
  </si>
  <si>
    <t>The Prophecy</t>
  </si>
  <si>
    <t>The Mutation</t>
  </si>
  <si>
    <t>The Weakness</t>
  </si>
  <si>
    <t>The Arrival</t>
  </si>
  <si>
    <t>The Hidden</t>
  </si>
  <si>
    <t>The Other</t>
  </si>
  <si>
    <t>The Test</t>
  </si>
  <si>
    <t>The Unexpected</t>
  </si>
  <si>
    <t>The Revelation</t>
  </si>
  <si>
    <t>The Deception</t>
  </si>
  <si>
    <t>The Resistance</t>
  </si>
  <si>
    <t>The Return</t>
  </si>
  <si>
    <t>The Ultimate</t>
  </si>
  <si>
    <t>The Beginning</t>
  </si>
  <si>
    <t>In The Time of the Dinosaurs</t>
  </si>
  <si>
    <t>The Andalite Chronicles</t>
  </si>
  <si>
    <t>The Elimist Chronicles</t>
  </si>
  <si>
    <t>Eleanor Estes</t>
  </si>
  <si>
    <t>Ginger Pye</t>
  </si>
  <si>
    <t>The Tunnel of Hugsy Goode</t>
  </si>
  <si>
    <t>The Moffats</t>
  </si>
  <si>
    <t>Rufus M.</t>
  </si>
  <si>
    <t>The Middle Mofat</t>
  </si>
  <si>
    <t>Mark Twain</t>
  </si>
  <si>
    <t>The Adventures of Huckelberry Finn</t>
  </si>
  <si>
    <t>The Adventures of Tom Sawyer</t>
  </si>
  <si>
    <t>Tom Sawyer Abroad</t>
  </si>
  <si>
    <t>Kenneth Grahame</t>
  </si>
  <si>
    <t>The Wind in the Willows</t>
  </si>
  <si>
    <t>The Willows in Winter</t>
  </si>
  <si>
    <t>Jacqueline Kelly</t>
  </si>
  <si>
    <t>Return to the Willows</t>
  </si>
  <si>
    <t>Julie Andrews</t>
  </si>
  <si>
    <t>The Last of the Really Great Whangdoodles</t>
  </si>
  <si>
    <t>Katherine Paterson</t>
  </si>
  <si>
    <t>The Bridge to Terabithia</t>
  </si>
  <si>
    <t>Ted Bell</t>
  </si>
  <si>
    <t>Nick of Time</t>
  </si>
  <si>
    <t>The Time Pirate</t>
  </si>
  <si>
    <t>Lynne Banks</t>
  </si>
  <si>
    <t>The Indian in the Cupboard</t>
  </si>
  <si>
    <t>The Return of the Indian</t>
  </si>
  <si>
    <t>The Secret of the Indian</t>
  </si>
  <si>
    <t>The Mystery of the Cupboard</t>
  </si>
  <si>
    <t>The Key to the Indian</t>
  </si>
  <si>
    <t>G. Lippert</t>
  </si>
  <si>
    <t>James Potter and the Hall of Elder's Crosing</t>
  </si>
  <si>
    <t>James Potter and the Gatekeeper</t>
  </si>
  <si>
    <t>James  Potter and the Vault of Destinies</t>
  </si>
  <si>
    <t>Johannes von Saaz</t>
  </si>
  <si>
    <t>Der Ackermann und der Tod</t>
  </si>
  <si>
    <t>Hartmann von Aue</t>
  </si>
  <si>
    <t>Der arme Heinrich</t>
  </si>
  <si>
    <t>Charles Dickens</t>
  </si>
  <si>
    <t>Great Expectations</t>
  </si>
  <si>
    <t>Oliver Twist</t>
  </si>
  <si>
    <t>A Christmas Carol</t>
  </si>
  <si>
    <t>David Copperfield</t>
  </si>
  <si>
    <t>Richard Connell</t>
  </si>
  <si>
    <t>The Most Dangerous Game</t>
  </si>
  <si>
    <t>Robert Jeffress</t>
  </si>
  <si>
    <t>How Can I Know</t>
  </si>
  <si>
    <t>Tristan Gooley</t>
  </si>
  <si>
    <t>The Natural Navigator</t>
  </si>
  <si>
    <t>Sid Fleischman</t>
  </si>
  <si>
    <t>The Whipping Boy</t>
  </si>
  <si>
    <t>Kevin Brooks</t>
  </si>
  <si>
    <t>iBoy</t>
  </si>
  <si>
    <t>Lissa Price</t>
  </si>
  <si>
    <t>Starter</t>
  </si>
  <si>
    <t>Enders</t>
  </si>
  <si>
    <t>Nancy Farmer</t>
  </si>
  <si>
    <t>The House of the Scorpion</t>
  </si>
  <si>
    <t>The Lord of Opium</t>
  </si>
  <si>
    <t>The Sea of Trolls</t>
  </si>
  <si>
    <t>The Land of the Silver Apples</t>
  </si>
  <si>
    <t>The Islands of the Blessed</t>
  </si>
  <si>
    <t>Frank Baum</t>
  </si>
  <si>
    <t>The Wonderful Wizard of Oz</t>
  </si>
  <si>
    <t>The Marvelous Land of Oz</t>
  </si>
  <si>
    <t>Ozma of Oz</t>
  </si>
  <si>
    <t>Dorothy and the Wizard in Oz</t>
  </si>
  <si>
    <t>The Road to Oz</t>
  </si>
  <si>
    <t>The Emerald City of Oz</t>
  </si>
  <si>
    <t>The Patchwork Girl of Oz</t>
  </si>
  <si>
    <t>Tik-Tok of Oz</t>
  </si>
  <si>
    <t>The Scarecrow of Oz</t>
  </si>
  <si>
    <t>Rinkitink in Oz</t>
  </si>
  <si>
    <t>The Lost Princess of Oz</t>
  </si>
  <si>
    <t>The Tin Woodman of Oz</t>
  </si>
  <si>
    <t>The Magic of Oz</t>
  </si>
  <si>
    <t>Glinda of Oz</t>
  </si>
  <si>
    <t>H.G. Wells</t>
  </si>
  <si>
    <t>The War of the Worlds</t>
  </si>
  <si>
    <t>John Christopher</t>
  </si>
  <si>
    <t>The White Mountains</t>
  </si>
  <si>
    <t>The City of Gold and Lead</t>
  </si>
  <si>
    <t>The Pool of Fire</t>
  </si>
  <si>
    <t>When the Tripods Came</t>
  </si>
  <si>
    <t>Gerald Morris</t>
  </si>
  <si>
    <t>The squire's Tale</t>
  </si>
  <si>
    <t>The Squire, His Knight, and His Lady</t>
  </si>
  <si>
    <t>The Savage Damsel and the Dwarf</t>
  </si>
  <si>
    <t>Parsifal's Page</t>
  </si>
  <si>
    <t>The Ballad of Sir Dinadan</t>
  </si>
  <si>
    <t>The Princess, the Crone, and the Dung-Cart</t>
  </si>
  <si>
    <t>The Lioness and Her Knight</t>
  </si>
  <si>
    <t>The Quest of the Fair Unknown</t>
  </si>
  <si>
    <t>The Adventures of Sir Gawain the True</t>
  </si>
  <si>
    <t>The Adventures of Sir Givret the Short</t>
  </si>
  <si>
    <t>Phillip Pullman</t>
  </si>
  <si>
    <t>The Golden Compass</t>
  </si>
  <si>
    <t>The Subtle Knife</t>
  </si>
  <si>
    <t>The Amber Spyglas</t>
  </si>
  <si>
    <t>Diane Duane</t>
  </si>
  <si>
    <t>So You Want to be a Wizard</t>
  </si>
  <si>
    <t>Deep Wizardry</t>
  </si>
  <si>
    <t>Wilson Rawls</t>
  </si>
  <si>
    <t>Where the Red Fern Grows</t>
  </si>
  <si>
    <t>Lois Lamour</t>
  </si>
  <si>
    <t>Showdown at the Yellow Butte</t>
  </si>
  <si>
    <t>The Sky-Liners</t>
  </si>
  <si>
    <t>Franklin Dixon</t>
  </si>
  <si>
    <t>Hardy Boys</t>
  </si>
  <si>
    <t>The Secret of Pirates' Hill</t>
  </si>
  <si>
    <t>Clare Vanderpool</t>
  </si>
  <si>
    <t>Moon Over Manifest</t>
  </si>
  <si>
    <t>Tracy Porter</t>
  </si>
  <si>
    <t>Treasures in the Dust</t>
  </si>
  <si>
    <t>Brandon Mull</t>
  </si>
  <si>
    <t>The Candy Shop War</t>
  </si>
  <si>
    <t>The Candy Shop War: Arcade Catastophe</t>
  </si>
  <si>
    <t>Fablehaven</t>
  </si>
  <si>
    <t>Rise of the Evening Star</t>
  </si>
  <si>
    <t>Grip of the Shadow Plague</t>
  </si>
  <si>
    <t>Secret of the Dragon Sanctuary</t>
  </si>
  <si>
    <t>Keys to the Demon Prison</t>
  </si>
  <si>
    <t>Wild Born</t>
  </si>
  <si>
    <t>Gabrielle Zevin</t>
  </si>
  <si>
    <t>Elsewhere</t>
  </si>
  <si>
    <t>Neal Shusterman</t>
  </si>
  <si>
    <t>Unwind</t>
  </si>
  <si>
    <t>UnWholly</t>
  </si>
  <si>
    <t>Everlost</t>
  </si>
  <si>
    <t>Everwild</t>
  </si>
  <si>
    <t>Everfound</t>
  </si>
  <si>
    <t>Charlie Higson</t>
  </si>
  <si>
    <t>Silverfin</t>
  </si>
  <si>
    <t>Blood Fever</t>
  </si>
  <si>
    <t>Double or Die</t>
  </si>
  <si>
    <t>Hurricane Gold</t>
  </si>
  <si>
    <t>By Royal Command</t>
  </si>
  <si>
    <t>Lemony Snicket</t>
  </si>
  <si>
    <t>The Bad Beginning</t>
  </si>
  <si>
    <t>The Reptile Room</t>
  </si>
  <si>
    <t>The Wide Window</t>
  </si>
  <si>
    <t>The Miserable Mill</t>
  </si>
  <si>
    <t>The Austere Academy</t>
  </si>
  <si>
    <t>the Ersatz Elevator</t>
  </si>
  <si>
    <t>The Vile Village</t>
  </si>
  <si>
    <t>The Hostile Hospital</t>
  </si>
  <si>
    <t>The Carnivorous Carnival</t>
  </si>
  <si>
    <t>The Slippery Slope</t>
  </si>
  <si>
    <t>The Grim Grotto</t>
  </si>
  <si>
    <t>The Penultimate Peril</t>
  </si>
  <si>
    <t>The End</t>
  </si>
  <si>
    <t>Pseydonymous Bosch</t>
  </si>
  <si>
    <t>The Name of This Book is Secret</t>
  </si>
  <si>
    <t>If You're Reading This, It's Too Late</t>
  </si>
  <si>
    <t>This Book Is Not Good for You</t>
  </si>
  <si>
    <t>This Isn't What it Looks Like</t>
  </si>
  <si>
    <t>Michael Chrichton</t>
  </si>
  <si>
    <t>Jurassic Park</t>
  </si>
  <si>
    <t>Naomi Klein</t>
  </si>
  <si>
    <t>This Changes Everything</t>
  </si>
  <si>
    <t>Ta-Nehisi Coates</t>
  </si>
  <si>
    <t>Between The World and Me</t>
  </si>
  <si>
    <t>Mosab Yousef</t>
  </si>
  <si>
    <t>Son Of Hamas</t>
  </si>
  <si>
    <t>S.E. Hinton</t>
  </si>
  <si>
    <t>The Outsiders</t>
  </si>
  <si>
    <t>That Was Then, This is Now</t>
  </si>
  <si>
    <t>Rumble Fish</t>
  </si>
  <si>
    <t>Lois Sachar</t>
  </si>
  <si>
    <t>Stories from Wayside School</t>
  </si>
  <si>
    <t>Wayside School is Falling Down</t>
  </si>
  <si>
    <t>Wayside School Gets A Little Stranger</t>
  </si>
  <si>
    <t>Beverly Cleary</t>
  </si>
  <si>
    <t>The Mouse and the Motorcycle</t>
  </si>
  <si>
    <t>Runaway Ralph</t>
  </si>
  <si>
    <t>Ralph S. Mouse</t>
  </si>
  <si>
    <t>Dear Mr. Henshaw</t>
  </si>
  <si>
    <t>Beezus and Ramona</t>
  </si>
  <si>
    <t>Henry Huggins</t>
  </si>
  <si>
    <t>Ribsy</t>
  </si>
  <si>
    <t>Ramona the Brave</t>
  </si>
  <si>
    <t>Henry and Ribsy</t>
  </si>
  <si>
    <t>Strider</t>
  </si>
  <si>
    <t>Henry &amp; Ramona</t>
  </si>
  <si>
    <t>Hans Christian Andersen</t>
  </si>
  <si>
    <t>Andersen's Fairy Tales</t>
  </si>
  <si>
    <t>George Selden</t>
  </si>
  <si>
    <t>The Cricket in Times Square</t>
  </si>
  <si>
    <t>Tucker's Countryside</t>
  </si>
  <si>
    <t>Susan Bartoletti</t>
  </si>
  <si>
    <t>The Boy Who Dared</t>
  </si>
  <si>
    <t>No Man's Land</t>
  </si>
  <si>
    <t>Richard Bach</t>
  </si>
  <si>
    <t>Jonathan Livingston Seagull</t>
  </si>
  <si>
    <t>Chauser</t>
  </si>
  <si>
    <t>The Canterbury Tales</t>
  </si>
  <si>
    <t>Ann Petty</t>
  </si>
  <si>
    <t>Harriet Tubman</t>
  </si>
  <si>
    <t>Kimberly Little</t>
  </si>
  <si>
    <t>The Last Snake Runner</t>
  </si>
  <si>
    <t>Mary Norton</t>
  </si>
  <si>
    <t>Rip Van Winkle and Other Stories</t>
  </si>
  <si>
    <t>Eva Ibbotson</t>
  </si>
  <si>
    <t>The Secret of Platform 13</t>
  </si>
  <si>
    <t>Which Witch?</t>
  </si>
  <si>
    <t>The Dragonfly Pool</t>
  </si>
  <si>
    <t xml:space="preserve">Kathryn Lasky </t>
  </si>
  <si>
    <t>Shadows in the Water</t>
  </si>
  <si>
    <t>The Journey</t>
  </si>
  <si>
    <t>The Rescue</t>
  </si>
  <si>
    <t>The Siege</t>
  </si>
  <si>
    <t>The Shattering</t>
  </si>
  <si>
    <t>The Burning</t>
  </si>
  <si>
    <t>The Hatchling</t>
  </si>
  <si>
    <t>The Outcast</t>
  </si>
  <si>
    <t>The First Collier</t>
  </si>
  <si>
    <t>The Coming of Hoole</t>
  </si>
  <si>
    <t>To Be a King</t>
  </si>
  <si>
    <t>The Golden Tree</t>
  </si>
  <si>
    <t>The River of Wind</t>
  </si>
  <si>
    <t>Exile</t>
  </si>
  <si>
    <t>The War of the Ember</t>
  </si>
  <si>
    <t>Lone Wolf</t>
  </si>
  <si>
    <t>Shadow Wolf</t>
  </si>
  <si>
    <t>Watch Wolf</t>
  </si>
  <si>
    <t>Janai Lowenstein</t>
  </si>
  <si>
    <t>The Secrets Inside Copper Mountain</t>
  </si>
  <si>
    <t>Richard Adams</t>
  </si>
  <si>
    <t>Watership Down</t>
  </si>
  <si>
    <t>Maria Trapp</t>
  </si>
  <si>
    <t>The Story of the Trapp Family Singers</t>
  </si>
  <si>
    <t>Patrick Carman</t>
  </si>
  <si>
    <t>The House Of Power</t>
  </si>
  <si>
    <t>Rivers of Fire</t>
  </si>
  <si>
    <t>The Dark Planet</t>
  </si>
  <si>
    <t>The Dark Hills Divide</t>
  </si>
  <si>
    <t>Beyond the Valley of Thorns</t>
  </si>
  <si>
    <t>The Tenth City</t>
  </si>
  <si>
    <t>Stargazer</t>
  </si>
  <si>
    <t>Into The Mist</t>
  </si>
  <si>
    <t>John Flanagan</t>
  </si>
  <si>
    <t>The Ruins of Gorlan</t>
  </si>
  <si>
    <t>The Burning Bridge</t>
  </si>
  <si>
    <t>The Icebound Land</t>
  </si>
  <si>
    <t>Oakleaf Bearers</t>
  </si>
  <si>
    <t>The Sorcerer in the North</t>
  </si>
  <si>
    <t>The Siege of Macindaw</t>
  </si>
  <si>
    <t>Erak's Ransom</t>
  </si>
  <si>
    <t>The Kings of Clonmel</t>
  </si>
  <si>
    <t>Halt's Peril</t>
  </si>
  <si>
    <t>The Emperor of Nihon-Ja</t>
  </si>
  <si>
    <t>The Lost Stories</t>
  </si>
  <si>
    <t>The Outcasts</t>
  </si>
  <si>
    <t>The Invaders</t>
  </si>
  <si>
    <t>The Hunters</t>
  </si>
  <si>
    <t>Slaves of Socorro</t>
  </si>
  <si>
    <t>Scorpion Mountain</t>
  </si>
  <si>
    <t>Eoin Colfer</t>
  </si>
  <si>
    <t>Artemis Fowl</t>
  </si>
  <si>
    <t>The Arctic Incident</t>
  </si>
  <si>
    <t>The Eternity Code</t>
  </si>
  <si>
    <t>The Opal Deception</t>
  </si>
  <si>
    <t>The Lost Colony</t>
  </si>
  <si>
    <t>The Time Paradox</t>
  </si>
  <si>
    <t>The Atlantis Complex</t>
  </si>
  <si>
    <t>The Last Guardian</t>
  </si>
  <si>
    <t>The Reluctant Assassin</t>
  </si>
  <si>
    <t>Catherine Fisher</t>
  </si>
  <si>
    <t>Incarceron</t>
  </si>
  <si>
    <t>Sapphique</t>
  </si>
  <si>
    <t>Darkhenge</t>
  </si>
  <si>
    <t>Elizabeth Kay</t>
  </si>
  <si>
    <t>The Divide</t>
  </si>
  <si>
    <t>Back to The Divide</t>
  </si>
  <si>
    <t>Jinx On The Divide</t>
  </si>
  <si>
    <t>Carole Wilkinson</t>
  </si>
  <si>
    <t>Dragon Keeper</t>
  </si>
  <si>
    <t>Scott Westerfeld</t>
  </si>
  <si>
    <t>Uglies</t>
  </si>
  <si>
    <t>Pretties</t>
  </si>
  <si>
    <t>Specials</t>
  </si>
  <si>
    <t>Orson Scott Card</t>
  </si>
  <si>
    <t>Ender's Game</t>
  </si>
  <si>
    <t>Ender's Shadow</t>
  </si>
  <si>
    <t>Speaker for the Dead</t>
  </si>
  <si>
    <t>Xenocide</t>
  </si>
  <si>
    <t>Children of the Mind</t>
  </si>
  <si>
    <t>Shadow of the Hegemon</t>
  </si>
  <si>
    <t>Jeanne DuPrau</t>
  </si>
  <si>
    <t>The City of Ember</t>
  </si>
  <si>
    <t>The People of Sparks</t>
  </si>
  <si>
    <t>The Prophet of Yonwood</t>
  </si>
  <si>
    <t>The Diamond of Darkhold</t>
  </si>
  <si>
    <t>Harper Lee</t>
  </si>
  <si>
    <t>To Kill a Mockingbird</t>
  </si>
  <si>
    <t>Michael Scott</t>
  </si>
  <si>
    <t>The Alchemyst</t>
  </si>
  <si>
    <t>The Magician</t>
  </si>
  <si>
    <t>The Sorceress</t>
  </si>
  <si>
    <t>The Necromancer</t>
  </si>
  <si>
    <t>The Warlock</t>
  </si>
  <si>
    <t>The Enchantress</t>
  </si>
  <si>
    <t>Lucy Montgomery</t>
  </si>
  <si>
    <t>Anne of Green Gables</t>
  </si>
  <si>
    <t>Anne of Avonlea</t>
  </si>
  <si>
    <t>Anne of the Island</t>
  </si>
  <si>
    <t>Anne of Windy Poplars</t>
  </si>
  <si>
    <t>Rainbow Valley</t>
  </si>
  <si>
    <t>Rilla of Ingleside</t>
  </si>
  <si>
    <t>Chonicles of Avonlea</t>
  </si>
  <si>
    <t>Further Chonicles of Avonlea</t>
  </si>
  <si>
    <t>Bruce Coville</t>
  </si>
  <si>
    <t>Jeremy Thatcher, Dragon Hatcher</t>
  </si>
  <si>
    <t>The Monster's Ring</t>
  </si>
  <si>
    <t>Jennifer Murdley's Toad</t>
  </si>
  <si>
    <t>The Skull of Truth</t>
  </si>
  <si>
    <t>Robert Stevenson</t>
  </si>
  <si>
    <t>Treasure Island</t>
  </si>
  <si>
    <t>Conor Kostick</t>
  </si>
  <si>
    <t>Epic</t>
  </si>
  <si>
    <t>Saga</t>
  </si>
  <si>
    <t>Edward Eager</t>
  </si>
  <si>
    <t>Half magic</t>
  </si>
  <si>
    <t>The Time Garden</t>
  </si>
  <si>
    <t>Magic by the Lake</t>
  </si>
  <si>
    <t>Michael Grant</t>
  </si>
  <si>
    <t>Gone</t>
  </si>
  <si>
    <t>Hunger</t>
  </si>
  <si>
    <t>Lies</t>
  </si>
  <si>
    <t>Plague</t>
  </si>
  <si>
    <t>Fear</t>
  </si>
  <si>
    <t>Monster</t>
  </si>
  <si>
    <t>Jean George</t>
  </si>
  <si>
    <t>Charlie's Raven</t>
  </si>
  <si>
    <t>Who Really Killed Cock Robin?</t>
  </si>
  <si>
    <t>Vulpes the Red Fox</t>
  </si>
  <si>
    <t>Dipper of Copper Creek</t>
  </si>
  <si>
    <t>The Talking Earth</t>
  </si>
  <si>
    <t>Julie of the Wolves</t>
  </si>
  <si>
    <t>Julie</t>
  </si>
  <si>
    <t>Julie's Wolf Pack</t>
  </si>
  <si>
    <t>My Side of the Mountain</t>
  </si>
  <si>
    <t>On the Far Side of the Mountain</t>
  </si>
  <si>
    <t>Frightful's Mountain</t>
  </si>
  <si>
    <t>Tree Castle Island</t>
  </si>
  <si>
    <t>Maia Wojciechowska</t>
  </si>
  <si>
    <t>Shadow of a Bull</t>
  </si>
  <si>
    <t>Jules Verne</t>
  </si>
  <si>
    <t>20,000 Leagues Under the Sea</t>
  </si>
  <si>
    <t>Journey to the Center of the Earth</t>
  </si>
  <si>
    <t>William Bligh</t>
  </si>
  <si>
    <t>The Mutiny on Board the H.M.S. Bounty</t>
  </si>
  <si>
    <t>Eisenberg</t>
  </si>
  <si>
    <t>The Story of SITTING BULL, Great Sioux Chief</t>
  </si>
  <si>
    <t>Edith Hamilton</t>
  </si>
  <si>
    <t>Mythology</t>
  </si>
  <si>
    <t>Tom Clancy</t>
  </si>
  <si>
    <t>Hunt for Red October</t>
  </si>
  <si>
    <t>Mark Walden</t>
  </si>
  <si>
    <t>Higher Institute of Villainous Education</t>
  </si>
  <si>
    <t>The Overlord Protocol</t>
  </si>
  <si>
    <t>Escape Velocity</t>
  </si>
  <si>
    <t>Dreadnought</t>
  </si>
  <si>
    <t>Rogue</t>
  </si>
  <si>
    <t>Zero Hour</t>
  </si>
  <si>
    <t>Aftershock</t>
  </si>
  <si>
    <t>Deadlock</t>
  </si>
  <si>
    <t>Elizabeth Winthrop</t>
  </si>
  <si>
    <t>The Castle in the Attic</t>
  </si>
  <si>
    <t>The Battle for the Castle</t>
  </si>
  <si>
    <t>Jane Conly</t>
  </si>
  <si>
    <t>Racso and the Rats of NIMH</t>
  </si>
  <si>
    <t>R-T, Margaret, and the Rats of NIMH</t>
  </si>
  <si>
    <t>Jack London</t>
  </si>
  <si>
    <t>Call of the Wild</t>
  </si>
  <si>
    <t>White Fang</t>
  </si>
  <si>
    <t>F. Scott Fitzgerald</t>
  </si>
  <si>
    <t>The Great Gatsby</t>
  </si>
  <si>
    <t>Lousia May Alcott</t>
  </si>
  <si>
    <t>Little Women</t>
  </si>
  <si>
    <t>Little Men</t>
  </si>
  <si>
    <t>Under the Lilacs</t>
  </si>
  <si>
    <t>Margaret Mitchell</t>
  </si>
  <si>
    <t>Gone With the Wind</t>
  </si>
  <si>
    <t>Mildred Taylor</t>
  </si>
  <si>
    <t>Roll of Thunder, Hear My Cry</t>
  </si>
  <si>
    <t>Let the Circle be Unbroken</t>
  </si>
  <si>
    <t>The Road to Memphis</t>
  </si>
  <si>
    <t>The Land</t>
  </si>
  <si>
    <t>Song of the Trees</t>
  </si>
  <si>
    <t>Sandra Cisneros</t>
  </si>
  <si>
    <t>The House on Mango Street</t>
  </si>
  <si>
    <t>James Cooper</t>
  </si>
  <si>
    <t>The Last of the Mohicans</t>
  </si>
  <si>
    <t>Karen Hesse</t>
  </si>
  <si>
    <t>Out of the Dust</t>
  </si>
  <si>
    <t>Hugh Lofting</t>
  </si>
  <si>
    <t>The Voyages of Doctor Dolittle</t>
  </si>
  <si>
    <t>Doctor Dolittle Tales</t>
  </si>
  <si>
    <t>Doctor Dolittle's Zoo</t>
  </si>
  <si>
    <t>New Scientist</t>
  </si>
  <si>
    <t>Does Anything Eat Wasps?</t>
  </si>
  <si>
    <t>Why Don't Penguins' Feet Freeze?</t>
  </si>
  <si>
    <t>Padraic Colum</t>
  </si>
  <si>
    <t>The Children of Odin</t>
  </si>
  <si>
    <t>Dorothy Haas</t>
  </si>
  <si>
    <t>The Secret Life of Dilly McBean</t>
  </si>
  <si>
    <t>Tony Hillerman</t>
  </si>
  <si>
    <t>The Boy Who Made Dragonfly</t>
  </si>
  <si>
    <t>Dick King-Smith</t>
  </si>
  <si>
    <t>Martin's Mice</t>
  </si>
  <si>
    <t>The Cuckoo Child</t>
  </si>
  <si>
    <t>Harry's Mad</t>
  </si>
  <si>
    <t>The Toby Man</t>
  </si>
  <si>
    <t>Magnus Powermouse</t>
  </si>
  <si>
    <t>A Mouse Called Wolf</t>
  </si>
  <si>
    <t>Babe</t>
  </si>
  <si>
    <t>The Water Horse</t>
  </si>
  <si>
    <t>Bertrand Brinley</t>
  </si>
  <si>
    <t>The Mad Scientists' Club</t>
  </si>
  <si>
    <t>Mary Dodge</t>
  </si>
  <si>
    <t>Hans Brinker</t>
  </si>
  <si>
    <t>Eve Curie</t>
  </si>
  <si>
    <t>Madam Curie</t>
  </si>
  <si>
    <t>C.S. Forester</t>
  </si>
  <si>
    <t>Captain Horatio Hornblower</t>
  </si>
  <si>
    <t>Daniel Defoe</t>
  </si>
  <si>
    <t>Robinson Crusoe</t>
  </si>
  <si>
    <t>Rudyard Kipling</t>
  </si>
  <si>
    <t>The Jungle Books</t>
  </si>
  <si>
    <t>Just So Stories</t>
  </si>
  <si>
    <t>Helen Keller</t>
  </si>
  <si>
    <t>The Story of My Life</t>
  </si>
  <si>
    <t>Milton Meltzer</t>
  </si>
  <si>
    <t>Rescue</t>
  </si>
  <si>
    <t>Douglas Adams</t>
  </si>
  <si>
    <t>The Hitchhiker's Guide to the Galaxy</t>
  </si>
  <si>
    <t>The Restaurant at the End of the Universe</t>
  </si>
  <si>
    <t>Life, the Universe, and Everything</t>
  </si>
  <si>
    <t>So Long, and Thanks for All the Fish</t>
  </si>
  <si>
    <t>Jonathon Swift</t>
  </si>
  <si>
    <t>Gulliver's Travels</t>
  </si>
  <si>
    <t>Jerry Spinelli</t>
  </si>
  <si>
    <t>Maniac Magee</t>
  </si>
  <si>
    <t>Stargirl</t>
  </si>
  <si>
    <t>Scott O'Dell</t>
  </si>
  <si>
    <t>Island of the Blue Dolphins</t>
  </si>
  <si>
    <t>Louis Sachar</t>
  </si>
  <si>
    <t>Holes</t>
  </si>
  <si>
    <t>Small Steps</t>
  </si>
  <si>
    <t>Patricia Maclachlan</t>
  </si>
  <si>
    <t>Sarah, Plain and Tall</t>
  </si>
  <si>
    <t>Elizabeth George</t>
  </si>
  <si>
    <t>The Witch of Blackbird Pond</t>
  </si>
  <si>
    <t>Kate DiCamillo</t>
  </si>
  <si>
    <t>The Tale of Despereaux</t>
  </si>
  <si>
    <t>Because of Winn-Dixie</t>
  </si>
  <si>
    <t>Polly Horvath</t>
  </si>
  <si>
    <t>Everything on a Waffle</t>
  </si>
  <si>
    <t>Stephanie S. Tolan</t>
  </si>
  <si>
    <t>Surviving the Applewhites</t>
  </si>
  <si>
    <t>Sharon Creech</t>
  </si>
  <si>
    <t>Ruby Holler</t>
  </si>
  <si>
    <t>Walk Two Moons</t>
  </si>
  <si>
    <t>Love That Dog</t>
  </si>
  <si>
    <t>Gail Levine</t>
  </si>
  <si>
    <t>Ella Enchanted</t>
  </si>
  <si>
    <t>Eloise McGraw</t>
  </si>
  <si>
    <t>Elizabeth Speare</t>
  </si>
  <si>
    <t>The Sign of the Beaver</t>
  </si>
  <si>
    <t>Cynthia Voigt</t>
  </si>
  <si>
    <t>Dicey's Song</t>
  </si>
  <si>
    <t>Come a Stranger</t>
  </si>
  <si>
    <t>A Solitary Blue</t>
  </si>
  <si>
    <t>Betsy Byars</t>
  </si>
  <si>
    <t>Summer of the Swans</t>
  </si>
  <si>
    <t>The Two-Thousand-Pound Goldfish</t>
  </si>
  <si>
    <t>Lloyd Alexander</t>
  </si>
  <si>
    <t>The Book of Three</t>
  </si>
  <si>
    <t>The Black Cauldron</t>
  </si>
  <si>
    <t>The Castle of Llyr</t>
  </si>
  <si>
    <t>Taran the Wanderer</t>
  </si>
  <si>
    <t>The High King</t>
  </si>
  <si>
    <t>George Orwell</t>
  </si>
  <si>
    <t>Nineteen Eighty-Four</t>
  </si>
  <si>
    <t>Animal Farm</t>
  </si>
  <si>
    <t>Terry Pratchett</t>
  </si>
  <si>
    <t>The Amazing Maurice and His Educated Rodents</t>
  </si>
  <si>
    <t>Natalie Savage</t>
  </si>
  <si>
    <t>The Family Under The Bridge</t>
  </si>
  <si>
    <t>Meindert DeJong</t>
  </si>
  <si>
    <t>The Wheel on the School</t>
  </si>
  <si>
    <t>E.B. White</t>
  </si>
  <si>
    <t>Charlotte's Web</t>
  </si>
  <si>
    <t>Stuart Little</t>
  </si>
  <si>
    <t>The Trumpet of the Swan</t>
  </si>
  <si>
    <t>E. Nesbit</t>
  </si>
  <si>
    <t>Five Children and It</t>
  </si>
  <si>
    <t>The Phoenix and the Carpet</t>
  </si>
  <si>
    <t>The Story of the Amulet</t>
  </si>
  <si>
    <t>The Enchanted Castle</t>
  </si>
  <si>
    <t>Ruth Gannett</t>
  </si>
  <si>
    <t>My Father's Dragon</t>
  </si>
  <si>
    <t>Elmer and the Dragon</t>
  </si>
  <si>
    <t>The Dragons of Blueland</t>
  </si>
  <si>
    <t>Will James</t>
  </si>
  <si>
    <t>Smoky the Cowhorse</t>
  </si>
  <si>
    <t>David Goding</t>
  </si>
  <si>
    <t>The American Boy's Handybook</t>
  </si>
  <si>
    <t>Jay Thomas</t>
  </si>
  <si>
    <t>Sex, Dating, and Relationships</t>
  </si>
  <si>
    <t>Shel Silverstien</t>
  </si>
  <si>
    <t>The Missing Piece</t>
  </si>
  <si>
    <t>Venti Jesus Please</t>
  </si>
  <si>
    <t>Greg Stier</t>
  </si>
  <si>
    <t>Walter Farley</t>
  </si>
  <si>
    <t>The Black Stallion</t>
  </si>
  <si>
    <t>The Black Stallion Returns</t>
  </si>
  <si>
    <t>Laura Hope</t>
  </si>
  <si>
    <t>The Bobbsey Twins' Adventure in Washington</t>
  </si>
  <si>
    <t>The Bobbsey Twins in the Country</t>
  </si>
  <si>
    <t>The Bobbsey Twins at the Seashore</t>
  </si>
  <si>
    <t>The Bobbsey Twins on a Houseboat</t>
  </si>
  <si>
    <t>Homer</t>
  </si>
  <si>
    <t>The Odyssey</t>
  </si>
  <si>
    <t>The Illiad</t>
  </si>
  <si>
    <t>Romeo and Juliet</t>
  </si>
  <si>
    <t>Macbeth</t>
  </si>
  <si>
    <t>Julius Caesar</t>
  </si>
  <si>
    <t>Lewis Carroll</t>
  </si>
  <si>
    <t>Alice's Adventures in Wonderland</t>
  </si>
  <si>
    <t>Franz Kafka</t>
  </si>
  <si>
    <t>The Metamorphosis</t>
  </si>
  <si>
    <t>Die Vervandlung</t>
  </si>
  <si>
    <t>Anonymous</t>
  </si>
  <si>
    <t>Beowulf</t>
  </si>
  <si>
    <t>Johann von Goethe</t>
  </si>
  <si>
    <t>Faust</t>
  </si>
  <si>
    <t>Brothers Grimm</t>
  </si>
  <si>
    <t>Grimm's Fairy Tales</t>
  </si>
  <si>
    <t>Joseph Conrad</t>
  </si>
  <si>
    <t>Heart of Darkness</t>
  </si>
  <si>
    <t>Johanna Spyri</t>
  </si>
  <si>
    <t>Heidi</t>
  </si>
  <si>
    <t>Harriet Stowe</t>
  </si>
  <si>
    <t>Uncle Tom's Cabin</t>
  </si>
  <si>
    <t>Alison Goodman</t>
  </si>
  <si>
    <t>Eon</t>
  </si>
  <si>
    <t>Eona</t>
  </si>
  <si>
    <t>Margery Williams</t>
  </si>
  <si>
    <t>The Velveteen Rabbit</t>
  </si>
  <si>
    <t>Antoine de Saint-Exupery</t>
  </si>
  <si>
    <t>The Little Prince</t>
  </si>
  <si>
    <t>Carlo Collodi</t>
  </si>
  <si>
    <t>Adventures of Pinocchio</t>
  </si>
  <si>
    <t>P.L. Travers</t>
  </si>
  <si>
    <t>Mary Poppins</t>
  </si>
  <si>
    <t>Mary Poppins Comes Back</t>
  </si>
  <si>
    <t>Mary Poppins Opens the Door</t>
  </si>
  <si>
    <t>Mary Poppins in the Park</t>
  </si>
  <si>
    <t>Natalie Babbitt</t>
  </si>
  <si>
    <t>Tuck Everlasting</t>
  </si>
  <si>
    <t>Steve Corbett &amp; Brian Fikkert</t>
  </si>
  <si>
    <t>When Helping Hurts</t>
  </si>
  <si>
    <t>Mike Lupica</t>
  </si>
  <si>
    <t>Hero</t>
  </si>
  <si>
    <t>Elliot Coleman</t>
  </si>
  <si>
    <t>The Winter Harvest Handbook</t>
  </si>
  <si>
    <t>Women of China</t>
  </si>
  <si>
    <t>Women in Chinese Folklore</t>
  </si>
  <si>
    <t>Jimmy Williams &amp; Susan Heeger</t>
  </si>
  <si>
    <t>From Seed to Skillet</t>
  </si>
  <si>
    <t>William Danforth</t>
  </si>
  <si>
    <t>I Dare You</t>
  </si>
  <si>
    <t>Edward Bloor</t>
  </si>
  <si>
    <t>Tangerine</t>
  </si>
  <si>
    <t>Ernest Cline</t>
  </si>
  <si>
    <t>Ready Player One</t>
  </si>
  <si>
    <t>Dan Gutman</t>
  </si>
  <si>
    <t>The Million Dollar Shot</t>
  </si>
  <si>
    <t>The Kid Who Ran for President</t>
  </si>
  <si>
    <t>The Kid Who Became President</t>
  </si>
  <si>
    <t>Ben Mikaelsen</t>
  </si>
  <si>
    <t>Touching Spirit Bear</t>
  </si>
  <si>
    <t xml:space="preserve">Ghost of Spirit Bear </t>
  </si>
  <si>
    <t>Petey</t>
  </si>
  <si>
    <t>Red Midnight</t>
  </si>
  <si>
    <t>Clarissa Estes</t>
  </si>
  <si>
    <t>Women Who Run With the Wolves</t>
  </si>
  <si>
    <t>Rafe Martin &amp; Susan Gaber</t>
  </si>
  <si>
    <t>The Language Of Birds</t>
  </si>
  <si>
    <t>Not One Damsel in Distress</t>
  </si>
  <si>
    <t>Avi</t>
  </si>
  <si>
    <t>The Secret School</t>
  </si>
  <si>
    <t>Poppy</t>
  </si>
  <si>
    <t>The Good Dog</t>
  </si>
  <si>
    <t>Susan Sloate</t>
  </si>
  <si>
    <t>Amelia Earhart</t>
  </si>
  <si>
    <t>Eleanor Coerr</t>
  </si>
  <si>
    <t>Sadako and the Thousand Paper Cranes</t>
  </si>
  <si>
    <t>William Bridges</t>
  </si>
  <si>
    <t>Transitions</t>
  </si>
  <si>
    <t>Steve Shadrach</t>
  </si>
  <si>
    <t>Brown Like Coffee</t>
  </si>
  <si>
    <t>R.M. Frazer</t>
  </si>
  <si>
    <t>The Poems of Hesiod</t>
  </si>
  <si>
    <t>Moo</t>
  </si>
  <si>
    <t>Enid Bagnold</t>
  </si>
  <si>
    <t>National Velvet</t>
  </si>
  <si>
    <t>Florence Sakade</t>
  </si>
  <si>
    <t>Japanese Children's Favorite Stories</t>
  </si>
  <si>
    <t>Lauren Mills</t>
  </si>
  <si>
    <t>Tatterhood and the Hobgoblins</t>
  </si>
  <si>
    <t>Jim Murphy</t>
  </si>
  <si>
    <t>The Great Fire</t>
  </si>
  <si>
    <t>The Journal of James Edmond Pease</t>
  </si>
  <si>
    <t>Lois Leppard</t>
  </si>
  <si>
    <t>Mandie and the Cherokee Legend</t>
  </si>
  <si>
    <t>Astrid Lindgren</t>
  </si>
  <si>
    <t>Pippi Longstocking</t>
  </si>
  <si>
    <t>Elizaberth Lewis</t>
  </si>
  <si>
    <t>Young Fu of the Upper Yangtze</t>
  </si>
  <si>
    <t>Stephen Meader</t>
  </si>
  <si>
    <t>Red Horse Hill</t>
  </si>
  <si>
    <t>Elvira Woodruff</t>
  </si>
  <si>
    <t>Dear Napoleon, I Know You're Dead, But…</t>
  </si>
  <si>
    <t>E.C. Forster &amp; Slim Williams</t>
  </si>
  <si>
    <t>The Long Hungry Night</t>
  </si>
  <si>
    <t>Harriette Robinet</t>
  </si>
  <si>
    <t>Walking to the Bus Rider Blues</t>
  </si>
  <si>
    <t>Janwillem van de Wetering</t>
  </si>
  <si>
    <t>Hugh Pine and the Good Place</t>
  </si>
  <si>
    <t>Debbie Dadey &amp; Marcia Jones</t>
  </si>
  <si>
    <t>Skeletons Don't Play Tubas</t>
  </si>
  <si>
    <t>Vampires Don't Wear Polka Dots</t>
  </si>
  <si>
    <t>Aliens Don't Wear Braces</t>
  </si>
  <si>
    <t>Carolyn Haywood</t>
  </si>
  <si>
    <t>Eddie's Green Thumb</t>
  </si>
  <si>
    <t>Jean Ure</t>
  </si>
  <si>
    <t>The Children Next Door</t>
  </si>
  <si>
    <t>Yoshiko Uchida</t>
  </si>
  <si>
    <t>Journey to Topaz</t>
  </si>
  <si>
    <t>Janet Lisle</t>
  </si>
  <si>
    <t>Forest</t>
  </si>
  <si>
    <t>Patricia Giff</t>
  </si>
  <si>
    <t>Nory Ryan's Song</t>
  </si>
  <si>
    <t>Carl Hiaasen</t>
  </si>
  <si>
    <t>Hoot</t>
  </si>
  <si>
    <t>Flush</t>
  </si>
  <si>
    <t>Squirm</t>
  </si>
  <si>
    <t>Debra Seely</t>
  </si>
  <si>
    <t>Grasslands</t>
  </si>
  <si>
    <t>Doris Schroder</t>
  </si>
  <si>
    <t>Jeffrey Dean &amp; Robby McGee</t>
  </si>
  <si>
    <t>The Graduate Handbook</t>
  </si>
  <si>
    <t>Marguerite De Angel</t>
  </si>
  <si>
    <t>The Door in the Wall</t>
  </si>
  <si>
    <t>T.A. Barron</t>
  </si>
  <si>
    <t>The Lost Years</t>
  </si>
  <si>
    <t>The Seven Songs</t>
  </si>
  <si>
    <t>The Raging Fires</t>
  </si>
  <si>
    <t>The Mirror of Merlin</t>
  </si>
  <si>
    <t>A Wizards Wings</t>
  </si>
  <si>
    <t>The Dragon of Avalon</t>
  </si>
  <si>
    <t>Doomraga's Revenge</t>
  </si>
  <si>
    <t>Ultimate Magic</t>
  </si>
  <si>
    <t>Geri Keams</t>
  </si>
  <si>
    <t>Grandmother Spider Brings the Sun</t>
  </si>
  <si>
    <t>Sarah Kilborne</t>
  </si>
  <si>
    <t>Peach &amp; Blue</t>
  </si>
  <si>
    <t>Gayle Ross &amp; Murv Jacob</t>
  </si>
  <si>
    <t>How Rabbit Tricked Otter</t>
  </si>
  <si>
    <t>Kurt Vonnegut</t>
  </si>
  <si>
    <t>Harrison Bergeron</t>
  </si>
  <si>
    <t>Brian Selznick</t>
  </si>
  <si>
    <t>The Invention of Hugo Cabret</t>
  </si>
  <si>
    <t>Wonderstruck</t>
  </si>
  <si>
    <t>Eoin McNamee</t>
  </si>
  <si>
    <t>The Navigator</t>
  </si>
  <si>
    <t>City Of Time</t>
  </si>
  <si>
    <t>The Frost Child</t>
  </si>
  <si>
    <t>Jack Canfield</t>
  </si>
  <si>
    <t>Chicken Soup for the Teenage Soul</t>
  </si>
  <si>
    <t>Williams Durbin</t>
  </si>
  <si>
    <t>The Journal of Sean Sullivan</t>
  </si>
  <si>
    <t>N.D. Wilson</t>
  </si>
  <si>
    <t>100 Cupboards</t>
  </si>
  <si>
    <t xml:space="preserve">Dandelion Fire </t>
  </si>
  <si>
    <t>The Chestnut King</t>
  </si>
  <si>
    <t>Roland Smith</t>
  </si>
  <si>
    <t>Elephant Run</t>
  </si>
  <si>
    <t>Kevin Crossley-Holland</t>
  </si>
  <si>
    <t>The Seeing Stone</t>
  </si>
  <si>
    <t>At the Crossing Places</t>
  </si>
  <si>
    <t>King of the Middlemarch</t>
  </si>
  <si>
    <t>Pittacus Lore</t>
  </si>
  <si>
    <t>I Am Number Four</t>
  </si>
  <si>
    <t>The Power of Six</t>
  </si>
  <si>
    <t>The Rise of Nine</t>
  </si>
  <si>
    <t>The Fall of Five</t>
  </si>
  <si>
    <t>Michael Reisman</t>
  </si>
  <si>
    <t>Simon Bloom, the Gravity Keeper</t>
  </si>
  <si>
    <t>The Octopus Effect</t>
  </si>
  <si>
    <t>Jeffrey Freed &amp; Joan Shapiro</t>
  </si>
  <si>
    <t>4 Weeks to an Organized Life with AD/HD</t>
  </si>
  <si>
    <t>Clyde Bulla</t>
  </si>
  <si>
    <t>Squanto</t>
  </si>
  <si>
    <t>M. Clarke</t>
  </si>
  <si>
    <t>Story of Aeneas</t>
  </si>
  <si>
    <t>Foreign Language Press</t>
  </si>
  <si>
    <t>The Frog Rider</t>
  </si>
  <si>
    <t>The Water-Buffalo and the Tiger</t>
  </si>
  <si>
    <t>T.H. White</t>
  </si>
  <si>
    <t>The Sword in the Stone</t>
  </si>
  <si>
    <t>Jean Van Leeuwen</t>
  </si>
  <si>
    <t>The Great Christmas Kidnaping Caper</t>
  </si>
  <si>
    <t>Cabin on Trouble Creek</t>
  </si>
  <si>
    <t>Nicholas Edwards</t>
  </si>
  <si>
    <t>Tiger Woods</t>
  </si>
  <si>
    <t>Laura Ahearn</t>
  </si>
  <si>
    <t>Living Language</t>
  </si>
  <si>
    <t>Helene Wecker</t>
  </si>
  <si>
    <t>The Golem and the Jinni</t>
  </si>
  <si>
    <t>Linda Chapman &amp; Steve Cole</t>
  </si>
  <si>
    <t>The Last Phoenix</t>
  </si>
  <si>
    <t>Derek Benz &amp; J.S. Lewis</t>
  </si>
  <si>
    <t>The Brimstone Key</t>
  </si>
  <si>
    <t>The Relic Hunters</t>
  </si>
  <si>
    <t>The Paragon Prison</t>
  </si>
  <si>
    <t>Stephen Lawhead</t>
  </si>
  <si>
    <t>In the Hall of the Dragon King</t>
  </si>
  <si>
    <t>The Sword and the Flame</t>
  </si>
  <si>
    <t>The Warlords of Nin</t>
  </si>
  <si>
    <t>Frances Hardinge</t>
  </si>
  <si>
    <t>Fly By Night</t>
  </si>
  <si>
    <t>Mark Frost</t>
  </si>
  <si>
    <t>The Paladin Prophecy</t>
  </si>
  <si>
    <t>Alliance</t>
  </si>
  <si>
    <t>Philip Freeman</t>
  </si>
  <si>
    <t>Heroes of Olympus</t>
  </si>
  <si>
    <t>Kenneth Oppel</t>
  </si>
  <si>
    <t>Silverwing</t>
  </si>
  <si>
    <t>Sunwing</t>
  </si>
  <si>
    <t>Firewing</t>
  </si>
  <si>
    <t>Darkwing</t>
  </si>
  <si>
    <t>Airborn</t>
  </si>
  <si>
    <t>Skybreaker</t>
  </si>
  <si>
    <t>Starclimber</t>
  </si>
  <si>
    <t>Jeff Stone</t>
  </si>
  <si>
    <t>Mouse</t>
  </si>
  <si>
    <t>Eagle</t>
  </si>
  <si>
    <t>Crane</t>
  </si>
  <si>
    <t>Snake</t>
  </si>
  <si>
    <t>Monkey</t>
  </si>
  <si>
    <t>Tiger</t>
  </si>
  <si>
    <t>Jonathan Stroud</t>
  </si>
  <si>
    <t>The Amulet of Samarkand</t>
  </si>
  <si>
    <t>The Golem's Eye</t>
  </si>
  <si>
    <t>Ptolemy's Gate</t>
  </si>
  <si>
    <t>Howard Pyle</t>
  </si>
  <si>
    <t>The Merry Adventures of Robin Hood</t>
  </si>
  <si>
    <t>Annabel Monaghan</t>
  </si>
  <si>
    <t>A Girl named Digit</t>
  </si>
  <si>
    <t>Winston Groom</t>
  </si>
  <si>
    <t>Forrest Gump</t>
  </si>
  <si>
    <t>Liz Kessler</t>
  </si>
  <si>
    <t>The Tail of Emily Windsnap</t>
  </si>
  <si>
    <t>Emily Windsnap and the Monster from the Deep</t>
  </si>
  <si>
    <t>Emily Windsnap and the Siren's Secret</t>
  </si>
  <si>
    <t>Sarah Prineas</t>
  </si>
  <si>
    <t>The Magic Thief</t>
  </si>
  <si>
    <t>Lost</t>
  </si>
  <si>
    <t>Dave Pelzer</t>
  </si>
  <si>
    <t>A Child Called It</t>
  </si>
  <si>
    <t>Leslea Newman</t>
  </si>
  <si>
    <t>Hachiko Waits</t>
  </si>
  <si>
    <t>Dhan Mukerji</t>
  </si>
  <si>
    <t>Gay-Neck</t>
  </si>
  <si>
    <t>Phyllis Naylor</t>
  </si>
  <si>
    <t>Shiloh</t>
  </si>
  <si>
    <t>Saving Shiloh</t>
  </si>
  <si>
    <t>Shiloh Season</t>
  </si>
  <si>
    <t>P.B. Kerr</t>
  </si>
  <si>
    <t>The Akhenaten Adventure</t>
  </si>
  <si>
    <t>The Blue Djinn of Babylon</t>
  </si>
  <si>
    <t>The Cobra King of Kathmandu</t>
  </si>
  <si>
    <t>The Day of the Djinn Warriors</t>
  </si>
  <si>
    <t>The Eye of the Forest</t>
  </si>
  <si>
    <t>The Grave Robbers of Genghis Khan</t>
  </si>
  <si>
    <t>Katherine Hannigan</t>
  </si>
  <si>
    <t>Ida B</t>
  </si>
  <si>
    <t>Nancy Fan</t>
  </si>
  <si>
    <t>Swordbird</t>
  </si>
  <si>
    <t>Swordquest</t>
  </si>
  <si>
    <t>Judy Blume</t>
  </si>
  <si>
    <t>Otherwise Known a Sheila the Great</t>
  </si>
  <si>
    <t>It's Not the End of the World</t>
  </si>
  <si>
    <t>Fudge</t>
  </si>
  <si>
    <t>Double Fudge</t>
  </si>
  <si>
    <t>Fudge-a-Mania</t>
  </si>
  <si>
    <t>Super Fudge</t>
  </si>
  <si>
    <t>Forever</t>
  </si>
  <si>
    <t>Jeanne Birdsall</t>
  </si>
  <si>
    <t>The Penderwicks</t>
  </si>
  <si>
    <t>June Wood</t>
  </si>
  <si>
    <t>When Pigs Fly</t>
  </si>
  <si>
    <t>Robert Peck </t>
  </si>
  <si>
    <t>A Day No Pigs Would die</t>
  </si>
  <si>
    <t>Tracie Zimmer</t>
  </si>
  <si>
    <t>The Floating Circus</t>
  </si>
  <si>
    <t>Celia Wilkins</t>
  </si>
  <si>
    <t>Little City by the Lake</t>
  </si>
  <si>
    <t>A Little House of Their Own</t>
  </si>
  <si>
    <t>Gertrude Warner</t>
  </si>
  <si>
    <t>The Boxcar Children</t>
  </si>
  <si>
    <t>Surprise Island</t>
  </si>
  <si>
    <t>The Yellow House Mystery</t>
  </si>
  <si>
    <t>Mystery Ranch</t>
  </si>
  <si>
    <t>Mike's Mystery</t>
  </si>
  <si>
    <t>Blue Bay Mystery</t>
  </si>
  <si>
    <t>The Woodshed Mystery</t>
  </si>
  <si>
    <t>The Lighthouse Mystery</t>
  </si>
  <si>
    <t>Mountain Top Mystery</t>
  </si>
  <si>
    <t>Schoolhouse Mystery</t>
  </si>
  <si>
    <t>Caboose Mystery</t>
  </si>
  <si>
    <t>Houseboat Mystery</t>
  </si>
  <si>
    <t>Snowbound Mystery</t>
  </si>
  <si>
    <t>Tree House Mystery</t>
  </si>
  <si>
    <t>The Animal Shelter Mystery</t>
  </si>
  <si>
    <t>The Camp-Out Mystery</t>
  </si>
  <si>
    <t>The Mystery in the Snow</t>
  </si>
  <si>
    <t>The Mystery of the Singing Ghost</t>
  </si>
  <si>
    <t>The Ghost Ship Mystery</t>
  </si>
  <si>
    <t>The Mystery of the Pirate's Map</t>
  </si>
  <si>
    <t>The Vampire Mystery</t>
  </si>
  <si>
    <t>The Dinosaur Mystery</t>
  </si>
  <si>
    <t>The Cupcake Caper</t>
  </si>
  <si>
    <t>The Chocolate Sunday Mystery</t>
  </si>
  <si>
    <t>The Mystery Girl</t>
  </si>
  <si>
    <t xml:space="preserve"> Behind the Wall </t>
  </si>
  <si>
    <t>The Mystery of the Hidden Beach</t>
  </si>
  <si>
    <t>Bus Station Mystery</t>
  </si>
  <si>
    <t>Mystery in the Sand</t>
  </si>
  <si>
    <t>The Mystery of the Stolen Music</t>
  </si>
  <si>
    <t>The Pizza Mystery</t>
  </si>
  <si>
    <t>the Mystery of the Hidden Painting</t>
  </si>
  <si>
    <t>The Amusement Park Mystery</t>
  </si>
  <si>
    <t>The Radio Mystery</t>
  </si>
  <si>
    <t>of the Ice Warning</t>
  </si>
  <si>
    <t>The Mystery in Washington D.C.</t>
  </si>
  <si>
    <t>The Mystery Horse</t>
  </si>
  <si>
    <t>The Black Widow Mystery</t>
  </si>
  <si>
    <t>The Disappearing Friend Mystery</t>
  </si>
  <si>
    <t>The Mystery Bookstore</t>
  </si>
  <si>
    <t>The Deserted Library Mystery</t>
  </si>
  <si>
    <t>The Mystery of the Lost Village</t>
  </si>
  <si>
    <t>The Guide Dog Mystery</t>
  </si>
  <si>
    <t>The Mystery of the Midnight Dog</t>
  </si>
  <si>
    <t>The Mystery at the Dog Show</t>
  </si>
  <si>
    <t>The Mystery at Snowflake Inn</t>
  </si>
  <si>
    <t>Benny Uncovers a Mystery</t>
  </si>
  <si>
    <t>The Mystery in the Fortune Cookie</t>
  </si>
  <si>
    <t>The Mystery of the Purple Pool</t>
  </si>
  <si>
    <t>The Haunted Cabin Mystery</t>
  </si>
  <si>
    <t>The Castle Mystery</t>
  </si>
  <si>
    <t>The Mystery of the Mixed-Up Zoo</t>
  </si>
  <si>
    <t>The Mystery of the Hot Air Balloon</t>
  </si>
  <si>
    <t>The Great Turkey Heist</t>
  </si>
  <si>
    <t>The Mystery Cruise</t>
  </si>
  <si>
    <t>The Mystery On Stage</t>
  </si>
  <si>
    <t>Th Mystery In the Computer Game</t>
  </si>
  <si>
    <t>The Old Motel Mystery</t>
  </si>
  <si>
    <t>The Canoe Trip Mystery</t>
  </si>
  <si>
    <t>Erin Hunter</t>
  </si>
  <si>
    <t>Into the Wild</t>
  </si>
  <si>
    <t>Fire and Ice</t>
  </si>
  <si>
    <t>Forest of Secrets</t>
  </si>
  <si>
    <t>Rising Storm</t>
  </si>
  <si>
    <t>A Dangerous Path</t>
  </si>
  <si>
    <t>The Darkest Hour</t>
  </si>
  <si>
    <t>Midnight</t>
  </si>
  <si>
    <t>Moonrise</t>
  </si>
  <si>
    <t>Dawn</t>
  </si>
  <si>
    <t>Starlight</t>
  </si>
  <si>
    <t>Twilight</t>
  </si>
  <si>
    <t>Sunset</t>
  </si>
  <si>
    <t>The Sight</t>
  </si>
  <si>
    <t>Dark River</t>
  </si>
  <si>
    <t>Outcast</t>
  </si>
  <si>
    <t>Eclipse</t>
  </si>
  <si>
    <t>Long Shadows</t>
  </si>
  <si>
    <t>Sunrise</t>
  </si>
  <si>
    <t>The Fourth Apprentice</t>
  </si>
  <si>
    <t>Fading Echoes</t>
  </si>
  <si>
    <t>Night Whispers</t>
  </si>
  <si>
    <t>Sign of the Moon</t>
  </si>
  <si>
    <t>The Forgotten Warrior</t>
  </si>
  <si>
    <t>The Last Hope</t>
  </si>
  <si>
    <t>Firestar's Quest</t>
  </si>
  <si>
    <t>Bluestar's Prophecy</t>
  </si>
  <si>
    <t>SkyClan's Destiny</t>
  </si>
  <si>
    <t>Yellowfang's Secret</t>
  </si>
  <si>
    <t>The Empty City</t>
  </si>
  <si>
    <t>The Quest Begins</t>
  </si>
  <si>
    <t>Great Bear Lake</t>
  </si>
  <si>
    <t>Smoke Mountain</t>
  </si>
  <si>
    <t>The Last Wilderness</t>
  </si>
  <si>
    <t>Fire in the Sky</t>
  </si>
  <si>
    <t>Kevin Kwan</t>
  </si>
  <si>
    <t>Crazy Rich Asians</t>
  </si>
  <si>
    <t>China Rich Girlfriend</t>
  </si>
  <si>
    <t>Rich People Problems</t>
  </si>
  <si>
    <t>Ron Chernow</t>
  </si>
  <si>
    <t>Grant</t>
  </si>
  <si>
    <t>Walter White</t>
  </si>
  <si>
    <t>A Man Called White</t>
  </si>
  <si>
    <t>Kathryn Stockett</t>
  </si>
  <si>
    <t>The Help</t>
  </si>
  <si>
    <t>Candice Millard</t>
  </si>
  <si>
    <t>Destiny and the Republic: a Tale of Madness, Medicine, and the Murder of a President</t>
  </si>
  <si>
    <t>Nella Larson</t>
  </si>
  <si>
    <t>Passing</t>
  </si>
  <si>
    <t>William Goldman</t>
  </si>
  <si>
    <t>The Princess Bride</t>
  </si>
  <si>
    <t>Daniel Gage</t>
  </si>
  <si>
    <t>Silo Seven</t>
  </si>
  <si>
    <t>Norton Juster</t>
  </si>
  <si>
    <t>The Phantom Tollbooth</t>
  </si>
  <si>
    <t>Robert Jordan</t>
  </si>
  <si>
    <t>The Eye of the World</t>
  </si>
  <si>
    <t>Ann Rinaldi</t>
  </si>
  <si>
    <t>Wolf by the Ears</t>
  </si>
  <si>
    <t>Richard and Florence Atwater</t>
  </si>
  <si>
    <t>Mr. Popper's Penguins</t>
  </si>
  <si>
    <t>Paul Fleischman</t>
  </si>
  <si>
    <t>Seedfolks</t>
  </si>
  <si>
    <t>John Layman</t>
  </si>
  <si>
    <t>Taster's Choice</t>
  </si>
  <si>
    <t>William Cronon</t>
  </si>
  <si>
    <t>Changes in the Land</t>
  </si>
  <si>
    <t>Javier Auyero</t>
  </si>
  <si>
    <t>Flammable</t>
  </si>
  <si>
    <t>Celia Applegate and Pamela Potter</t>
  </si>
  <si>
    <t>Music and German National Identity</t>
  </si>
  <si>
    <t>Gordon Craig</t>
  </si>
  <si>
    <t>The Germans</t>
  </si>
  <si>
    <t>Michael Kater</t>
  </si>
  <si>
    <t>Different Drummers: Jazz in the Culture of Nazi Germany</t>
  </si>
  <si>
    <t>Rebecca Oettinger</t>
  </si>
  <si>
    <t>Music as Propaganda in the German Reformation</t>
  </si>
  <si>
    <t>Uwe Schutt</t>
  </si>
  <si>
    <t>German Pop Music: A Companion</t>
  </si>
  <si>
    <t>William Shakespeare</t>
  </si>
  <si>
    <t>Midsummer's Night Dream</t>
  </si>
  <si>
    <t>Jean Merrill</t>
  </si>
  <si>
    <t>The Toothpaste Millionare</t>
  </si>
  <si>
    <t>David Blight</t>
  </si>
  <si>
    <t>Frederick Douglass</t>
  </si>
  <si>
    <t>Alexander Hamilton, James Madison, and John Jay</t>
  </si>
  <si>
    <t>The Federalist Papers</t>
  </si>
  <si>
    <t>Nathan Pyle</t>
  </si>
  <si>
    <t>Strange Planet</t>
  </si>
  <si>
    <t>Ishmael Beah</t>
  </si>
  <si>
    <t>A Long Way Gone</t>
  </si>
  <si>
    <t>Naomi Benaron</t>
  </si>
  <si>
    <t>Running the Rift</t>
  </si>
  <si>
    <t>Thomas Mann</t>
  </si>
  <si>
    <t>Tod in Venedig</t>
  </si>
  <si>
    <t>Bertold Brecht</t>
  </si>
  <si>
    <t>Doktor Faustus</t>
  </si>
  <si>
    <t>Min Jin Lee</t>
  </si>
  <si>
    <t>Pachinko</t>
  </si>
  <si>
    <t>Ludwig Tieck</t>
  </si>
  <si>
    <t>Der Runenberg</t>
  </si>
  <si>
    <t>Obert Skye</t>
  </si>
  <si>
    <t>Leven Thumps and the Gateway to Foo</t>
  </si>
  <si>
    <t>Leven Thumps and the Whispered Secret</t>
  </si>
  <si>
    <t>Kat Falls</t>
  </si>
  <si>
    <t>Dark life</t>
  </si>
  <si>
    <t>Michael Chabon</t>
  </si>
  <si>
    <t>Summerland</t>
  </si>
  <si>
    <t>Zizu Corder</t>
  </si>
  <si>
    <t>Lionboy</t>
  </si>
  <si>
    <t>Lauren Groff</t>
  </si>
  <si>
    <t>L.DeBard and Aliette</t>
  </si>
  <si>
    <t>Hate That Cat</t>
  </si>
  <si>
    <t>Jane Smiley</t>
  </si>
  <si>
    <t>Birdie</t>
  </si>
  <si>
    <t>Jane Yolen</t>
  </si>
  <si>
    <t>Leven Thumps and the Eyes of the Want</t>
  </si>
  <si>
    <t>Leven Thumps and the Wrath of Ezra</t>
  </si>
  <si>
    <t>Leven Thumps and the Ruins of Alder</t>
  </si>
  <si>
    <t>Claude Steele</t>
  </si>
  <si>
    <t>Whistling Vivaldi</t>
  </si>
  <si>
    <t>Blindspot</t>
  </si>
  <si>
    <t>Anthony Greenwald and Mahzarin Banaji</t>
  </si>
  <si>
    <t>One Second After</t>
  </si>
  <si>
    <t>David Montgomery</t>
  </si>
  <si>
    <t>Peter Zeihan</t>
  </si>
  <si>
    <t>The Accidental Superpower</t>
  </si>
  <si>
    <t>Dirt</t>
  </si>
  <si>
    <t>William Forstchen</t>
  </si>
  <si>
    <t>Teacher's Pest</t>
  </si>
  <si>
    <t>The Polish Boy</t>
  </si>
  <si>
    <t>Pathfinder</t>
  </si>
  <si>
    <t>Dave Eggers</t>
  </si>
  <si>
    <t>The Circle</t>
  </si>
  <si>
    <t>Roger Daniels</t>
  </si>
  <si>
    <t>Coming to America</t>
  </si>
  <si>
    <t>Magic Street</t>
  </si>
  <si>
    <t>Jim Fergus</t>
  </si>
  <si>
    <t>The Vengeance of Mothers</t>
  </si>
  <si>
    <t>Simon Elegant</t>
  </si>
  <si>
    <t>A Floating Life: The Adventures of Li Po</t>
  </si>
  <si>
    <t>The Tattooist of Auschwitz</t>
  </si>
  <si>
    <t>Heather Morris</t>
  </si>
  <si>
    <t>Todd Strasser</t>
  </si>
  <si>
    <t>Richie Rich</t>
  </si>
  <si>
    <t>Susan Powers</t>
  </si>
  <si>
    <t>The Grass Dancer</t>
  </si>
  <si>
    <t>David Jeremiah</t>
  </si>
  <si>
    <t>Overcomer</t>
  </si>
  <si>
    <t>G.E. Lessing</t>
  </si>
  <si>
    <t>Minna von Barnhelm</t>
  </si>
  <si>
    <t>Die Dreigroschenopper</t>
  </si>
  <si>
    <t>Ryan Messmore</t>
  </si>
  <si>
    <t>In Love</t>
  </si>
  <si>
    <t>Washington: A Life</t>
  </si>
  <si>
    <t>Radley Balko</t>
  </si>
  <si>
    <t>Rise of the Warrior Cop: the Militarization of America's Police Forces</t>
  </si>
  <si>
    <t>William Strunk and E.B. White</t>
  </si>
  <si>
    <t>The Elements of Style</t>
  </si>
  <si>
    <t>Chinua Achebe</t>
  </si>
  <si>
    <t>Things Fall Apart</t>
  </si>
  <si>
    <t>Arrow of God</t>
  </si>
  <si>
    <t>No Longer At Ease</t>
  </si>
  <si>
    <t>Ben Goldfarb</t>
  </si>
  <si>
    <t>Akwaeke Emezi</t>
  </si>
  <si>
    <t>Freshwater</t>
  </si>
  <si>
    <t>Ken Follette</t>
  </si>
  <si>
    <t>The Pillars of the Earth</t>
  </si>
  <si>
    <t>Sundee Tucker Frazier</t>
  </si>
  <si>
    <t>Check all that apply</t>
  </si>
  <si>
    <t>Frances Goodrich</t>
  </si>
  <si>
    <t>The Diary of Anne Frank</t>
  </si>
  <si>
    <t>The Arkadians</t>
  </si>
  <si>
    <t>The Borrowers</t>
  </si>
  <si>
    <t>The Borrowers Afield</t>
  </si>
  <si>
    <t>The Borrowers Afloat</t>
  </si>
  <si>
    <t>Joseph Bruchac</t>
  </si>
  <si>
    <t>A Boy Called Slow</t>
  </si>
  <si>
    <t>William Sleator</t>
  </si>
  <si>
    <t>The Boy Who Reversed Himself</t>
  </si>
  <si>
    <t>Izzy Willy-Nilly</t>
  </si>
  <si>
    <t>Journey to the River Sea</t>
  </si>
  <si>
    <t>King of Shadows</t>
  </si>
  <si>
    <t>The Moorchild</t>
  </si>
  <si>
    <t>Kate Thompson</t>
  </si>
  <si>
    <t>The New Policeman</t>
  </si>
  <si>
    <t>Allan Eckert</t>
  </si>
  <si>
    <t>Incident at Hawk's Hill</t>
  </si>
  <si>
    <t>Kim Tallbear</t>
  </si>
  <si>
    <t>Native American DNA</t>
  </si>
  <si>
    <t>Ted Dekker</t>
  </si>
  <si>
    <t>Black</t>
  </si>
  <si>
    <t>Red</t>
  </si>
  <si>
    <t>White</t>
  </si>
  <si>
    <t>Paul Sorrentino</t>
  </si>
  <si>
    <t>Claudio Saunt</t>
  </si>
  <si>
    <t>Sofía Segovia</t>
  </si>
  <si>
    <t>The Murmur of Bees</t>
  </si>
  <si>
    <t>Gerald M. Sider</t>
  </si>
  <si>
    <t>Lumbee Indian Histories: Race, Ethnicity, and Indian Identity in the Southern United States</t>
  </si>
  <si>
    <t>The Water Dancer</t>
  </si>
  <si>
    <t>Tony Danza</t>
  </si>
  <si>
    <t>I'd Like To Apologize To Every Teacher I Ever Had</t>
  </si>
  <si>
    <t>Thanhha Lai</t>
  </si>
  <si>
    <t>Inside Out and Back Again</t>
  </si>
  <si>
    <t>Robin Wall Kimmerer</t>
  </si>
  <si>
    <t>Braiding Sweetgrass: Indigenous Wisdom, Scientific Knowledge, and the Teachings of Plants</t>
  </si>
  <si>
    <t>Dana Czapnik</t>
  </si>
  <si>
    <t>The Falconer</t>
  </si>
  <si>
    <t>Lynda Mullaly Hunt</t>
  </si>
  <si>
    <t>Fish in a Tree</t>
  </si>
  <si>
    <t>Frindle</t>
  </si>
  <si>
    <t>Anne McCaffrey</t>
  </si>
  <si>
    <t>Mitali Perkins</t>
  </si>
  <si>
    <t>Bamboo People</t>
  </si>
  <si>
    <t>Lucky Boy</t>
  </si>
  <si>
    <t>Contagions Of Empire</t>
  </si>
  <si>
    <t>Khary Polk</t>
  </si>
  <si>
    <t>Shanthi Sekaran</t>
  </si>
  <si>
    <t>Axie Oh</t>
  </si>
  <si>
    <t>Rebel Seoul</t>
  </si>
  <si>
    <t>Michael Korda</t>
  </si>
  <si>
    <t>Hero: The Life and Legend of Lawrence of Arabia</t>
  </si>
  <si>
    <t>Little House in the Big Woods</t>
  </si>
  <si>
    <t>The Island</t>
  </si>
  <si>
    <t>A Transforming Vision: Multiethnic Fellowship in College and in the Church</t>
  </si>
  <si>
    <t>Eager: the Surprising, Secret Life of Beavers and Why They Matter</t>
  </si>
  <si>
    <t>Unworthy Republic: the Dispossession of Native Americans and the Road to Indian Territory</t>
  </si>
  <si>
    <t>Ray Bradbury</t>
  </si>
  <si>
    <t>Farenheit 451</t>
  </si>
  <si>
    <t>Kirk Mitchell</t>
  </si>
  <si>
    <t>Sky Woman Falling</t>
  </si>
  <si>
    <t>Joseph Campbell</t>
  </si>
  <si>
    <t>The Hero With A Thousand Faces</t>
  </si>
  <si>
    <t>Anne Fadiman</t>
  </si>
  <si>
    <t>The Spirit Catches You And You Fall Down: A Hmong Child, Her American Doctors, And The Collision of Two Cultures</t>
  </si>
  <si>
    <t>Zora Hurston</t>
  </si>
  <si>
    <t>Barracoon: The Story of the Last "Black Cargo"</t>
  </si>
  <si>
    <t>Chimamanda Ngozi Adichie</t>
  </si>
  <si>
    <t>Americanah: A Novel</t>
  </si>
  <si>
    <t>Ted Chiang</t>
  </si>
  <si>
    <t>The Merchant and the Alchemist's Gate</t>
  </si>
  <si>
    <t>Exhalation</t>
  </si>
  <si>
    <t>What's Expected of Us</t>
  </si>
  <si>
    <t>The Lifecycle of Software Objects</t>
  </si>
  <si>
    <t>The Truth of Fact, The Truth of Feeling</t>
  </si>
  <si>
    <t>The Great Silence</t>
  </si>
  <si>
    <t>Omphalos</t>
  </si>
  <si>
    <t>Anxiety is the Dizzyness of Freedom</t>
  </si>
  <si>
    <t>Isaac Asimov</t>
  </si>
  <si>
    <t>Joseph Murphy</t>
  </si>
  <si>
    <t>Potawatomi Of The West: Origins Of The Citizen Band</t>
  </si>
  <si>
    <t>The Island of Dr. Moreau</t>
  </si>
  <si>
    <t>Olaudah Equiano</t>
  </si>
  <si>
    <t>The Interesting Narrative of the Life of Olaudah Equiano, or Gustavus Vasa, the African</t>
  </si>
  <si>
    <t>Mary Prince</t>
  </si>
  <si>
    <t>The History of Mary Prince, A West Indian Slave</t>
  </si>
  <si>
    <t>Louis Asa-Asa</t>
  </si>
  <si>
    <t>Narrative of Loius Asa-Asa, A Captured African</t>
  </si>
  <si>
    <t>Narrative of the Life of Frederick Douglass, An American Slave</t>
  </si>
  <si>
    <t>Harriet Jacobs</t>
  </si>
  <si>
    <t>Incidents in the Life of a Slave Girl, seven years concealed</t>
  </si>
  <si>
    <t>The Ugly Little Boy</t>
  </si>
  <si>
    <t>Aneeka Ayanna Henderson</t>
  </si>
  <si>
    <t>Veil and Vow: Marriage Matters in Contemporary African American Culture</t>
  </si>
  <si>
    <t>Sonya Sotomayor</t>
  </si>
  <si>
    <t>My Beloved World</t>
  </si>
  <si>
    <t>Great feel-good memoir.</t>
  </si>
  <si>
    <t>Full of rarely-used words and a slow read. Also rather outdated.</t>
  </si>
  <si>
    <t>Amazing showcase of the people's endurance</t>
  </si>
  <si>
    <t>more interesting than that of Blight's biography, not to mention shorter.</t>
  </si>
  <si>
    <t>short narrative of a slave freed upon arrival to britain from africa</t>
  </si>
  <si>
    <t>a narrative full of hardships</t>
  </si>
  <si>
    <t>An incredible narrative full of adventures</t>
  </si>
  <si>
    <t>a scholarly history, sometimes difficult to follow</t>
  </si>
  <si>
    <t>really cool wormhole time travel stories</t>
  </si>
  <si>
    <t>interesting discussion about entrophy and artificial intelligence</t>
  </si>
  <si>
    <t>fantastic story about free-will</t>
  </si>
  <si>
    <t>over-extended story about artificial intelligence</t>
  </si>
  <si>
    <t>Dacey's Patent Automatic Nanny</t>
  </si>
  <si>
    <t>Depressing story about human contact</t>
  </si>
  <si>
    <t>life-catalogueing software and development of written language</t>
  </si>
  <si>
    <t>parrots are the other sentience we look for</t>
  </si>
  <si>
    <t>young-earth, find an earth that is the center of the universe</t>
  </si>
  <si>
    <t>multi-verse communication</t>
  </si>
  <si>
    <t>Interesting insight into contemporary African Immigrants</t>
  </si>
  <si>
    <t>showcases without embellishment the life of Cudjoe Lewis</t>
  </si>
  <si>
    <t>incredible story of the early Hmong in America</t>
  </si>
  <si>
    <t>A dated and less-than-comprehensive book.</t>
  </si>
  <si>
    <t>Murder mystery with problematic depiction of DID</t>
  </si>
  <si>
    <t>tackles technology, social structures, censorship, and more</t>
  </si>
  <si>
    <t>in-depth look into the development of WWI middle-east</t>
  </si>
  <si>
    <t>pacific rim without the monsters</t>
  </si>
  <si>
    <t>very well-written</t>
  </si>
  <si>
    <t>well-written compelling story about hispanic immigration</t>
  </si>
  <si>
    <t>middle-school book, informative about Vietnam war</t>
  </si>
  <si>
    <t>classic book about dyslexia</t>
  </si>
  <si>
    <t>wonderful coming-of-age story</t>
  </si>
  <si>
    <t>vignettes from native perspectives</t>
  </si>
  <si>
    <t>fantastic children's story includes language-barriers</t>
  </si>
  <si>
    <t>great classroom story</t>
  </si>
  <si>
    <t>textbook and case study</t>
  </si>
  <si>
    <t>amazing, magical-realism, great ending</t>
  </si>
  <si>
    <t>informative history book</t>
  </si>
  <si>
    <t>good discussion on culturaly-specific worship</t>
  </si>
  <si>
    <t>great concepts of good/evil and visible/invisible</t>
  </si>
  <si>
    <t>continued</t>
  </si>
  <si>
    <t>gets a little heavy-handed</t>
  </si>
  <si>
    <t>brings up a few good points, but mostly empty</t>
  </si>
  <si>
    <t>great soon-oudated book about multiraciality</t>
  </si>
  <si>
    <t>fantastic multi-generational story about architects</t>
  </si>
  <si>
    <t>great book with non-human narrator</t>
  </si>
  <si>
    <t>fantastic natural history book, companion for Changes in the land</t>
  </si>
  <si>
    <t>great book about colonization-era West Africa</t>
  </si>
  <si>
    <t>sometimes dry book about military-police relationships</t>
  </si>
  <si>
    <t>encouraging lightweight reading</t>
  </si>
  <si>
    <t>achronistic book, heavy on the spiritual</t>
  </si>
  <si>
    <t>short story set in spanish flu</t>
  </si>
  <si>
    <t>really disapointing story, poorly written, not really believable</t>
  </si>
  <si>
    <t>bland story about mythicized life of famous chinese philosopher</t>
  </si>
  <si>
    <t>horrible. Don’t read ever</t>
  </si>
  <si>
    <t>The Phantom Menace</t>
  </si>
  <si>
    <t>Great insights into the minds of the characters</t>
  </si>
  <si>
    <t>Interesting blend of magic and real-life</t>
  </si>
  <si>
    <t>James Kahn</t>
  </si>
  <si>
    <t>Return of the Jedi</t>
  </si>
  <si>
    <t>terribly mediocre</t>
  </si>
  <si>
    <t>disappointing, poor grammar</t>
  </si>
  <si>
    <t>Star Wars: From the Adventures of Luke Skywalker</t>
  </si>
  <si>
    <t>George Lucas</t>
  </si>
  <si>
    <t>Books Read:</t>
  </si>
  <si>
    <t>Unique Authors:</t>
  </si>
  <si>
    <t>Average books per author:</t>
  </si>
  <si>
    <t>Most-Read Author:</t>
  </si>
  <si>
    <t>Bedknobs and Broomsticks</t>
  </si>
  <si>
    <t>Average rating (0-10):</t>
  </si>
  <si>
    <t>Most-Read Year:</t>
  </si>
  <si>
    <t>Average year:</t>
  </si>
  <si>
    <t>Worst Author:</t>
  </si>
  <si>
    <t>Kevin Anderson &amp; Brian Herbert</t>
  </si>
  <si>
    <t>L</t>
  </si>
  <si>
    <t>A</t>
  </si>
  <si>
    <t>H</t>
  </si>
  <si>
    <t>I</t>
  </si>
  <si>
    <t>R</t>
  </si>
  <si>
    <t>E</t>
  </si>
  <si>
    <t>S</t>
  </si>
  <si>
    <t>U</t>
  </si>
  <si>
    <t>N</t>
  </si>
  <si>
    <t>O</t>
  </si>
  <si>
    <t>B</t>
  </si>
  <si>
    <t>C</t>
  </si>
  <si>
    <t>D</t>
  </si>
  <si>
    <t>F</t>
  </si>
  <si>
    <t>G</t>
  </si>
  <si>
    <t>J</t>
  </si>
  <si>
    <t>K</t>
  </si>
  <si>
    <t>M</t>
  </si>
  <si>
    <t>P</t>
  </si>
  <si>
    <t>Q</t>
  </si>
  <si>
    <t>T</t>
  </si>
  <si>
    <t>V</t>
  </si>
  <si>
    <t>W</t>
  </si>
  <si>
    <t>X</t>
  </si>
  <si>
    <t>Y</t>
  </si>
  <si>
    <t>Z</t>
  </si>
  <si>
    <t>Most Popular Last-Initial:</t>
  </si>
  <si>
    <t>Most Popular First-Initial:</t>
  </si>
  <si>
    <t>Washington Ivring</t>
  </si>
  <si>
    <t>very wholesome</t>
  </si>
  <si>
    <t>So wholesome</t>
  </si>
  <si>
    <t>tour of the dimentions</t>
  </si>
  <si>
    <t>Annette and the Mystery at Smugglers'  Cove</t>
  </si>
  <si>
    <t>Authors pulled</t>
  </si>
  <si>
    <t>Mismatch test</t>
  </si>
  <si>
    <t># read</t>
  </si>
  <si>
    <t>Mean rating</t>
  </si>
  <si>
    <t># perfect</t>
  </si>
  <si>
    <t>Check read</t>
  </si>
  <si>
    <t>check year</t>
  </si>
  <si>
    <t>check rating</t>
  </si>
  <si>
    <t>compare two</t>
  </si>
  <si>
    <t>last name</t>
  </si>
  <si>
    <t>1st initial</t>
  </si>
  <si>
    <t>count</t>
  </si>
  <si>
    <t>2nd initial</t>
  </si>
  <si>
    <t>empty?</t>
  </si>
  <si>
    <t>letter counts</t>
  </si>
  <si>
    <t>Best Series:</t>
  </si>
  <si>
    <t>Sebastian Junger</t>
  </si>
  <si>
    <t>The Perfect Storm: A True Story oh Men Against the Sea</t>
  </si>
  <si>
    <t>Elearned about boats, fishing, and meteorology; very suspensful, a cross between story and history book</t>
  </si>
  <si>
    <t>Dead on Target</t>
  </si>
  <si>
    <t>Bridge of Clay</t>
  </si>
  <si>
    <t>How Many Books This Year:</t>
  </si>
  <si>
    <t>Destination: Void</t>
  </si>
  <si>
    <t>The Voice of the Coyote</t>
  </si>
  <si>
    <t>Whipping Star</t>
  </si>
  <si>
    <t>universe of connectives</t>
  </si>
  <si>
    <t>Fantastic time-travel and sci-fi</t>
  </si>
  <si>
    <t>J. Frank Dobie</t>
  </si>
  <si>
    <t>Clones creating an AI</t>
  </si>
  <si>
    <t>Hunting for Hidden Gold</t>
  </si>
  <si>
    <t>The White Plague</t>
  </si>
  <si>
    <t>Andrew Murray</t>
  </si>
  <si>
    <t>Humility: The Journey Toward Holiness</t>
  </si>
  <si>
    <t>great book full of Coyote Anecdotes</t>
  </si>
  <si>
    <t>reminder of spiritual humility</t>
  </si>
  <si>
    <t>Thomas Brussig</t>
  </si>
  <si>
    <t>Am Kürzeren Ende Der Sonnenallee</t>
  </si>
  <si>
    <t>the German book with smuggled records and dance class</t>
  </si>
  <si>
    <t>House Corrino</t>
  </si>
  <si>
    <t>Carolyn Merchant</t>
  </si>
  <si>
    <t>Ecological Revolutions: Nature, Gender, and Science in New England</t>
  </si>
  <si>
    <t>like Cronon but worse</t>
  </si>
  <si>
    <t>Barak Obama</t>
  </si>
  <si>
    <t>A Promised Land</t>
  </si>
  <si>
    <t>a little long winded, it's a pleasant read that doesn't get gripping until the last hundred pages</t>
  </si>
  <si>
    <t>Sandworms of Dune</t>
  </si>
  <si>
    <t>they leave the no ship to meet the machines</t>
  </si>
  <si>
    <t>they float on the the no-ship and grow ghoulas</t>
  </si>
  <si>
    <t>Hunters of Dune</t>
  </si>
  <si>
    <t>Treasure in the Sand</t>
  </si>
  <si>
    <t>short story about selling arrakis sand</t>
  </si>
  <si>
    <t>Raymond Friday Locke</t>
  </si>
  <si>
    <t>The Book of the Navajo</t>
  </si>
  <si>
    <t>well narrated history of the Navajo (Dineh), if a bit dated. funny and sorrowful passages.</t>
  </si>
  <si>
    <t>Jack Thorne</t>
  </si>
  <si>
    <t>Harry Potter and the Cursed Child</t>
  </si>
  <si>
    <t>as a screenplay it's decent, it feels a little heavy handed and shallow</t>
  </si>
  <si>
    <t>Monica Furlong</t>
  </si>
  <si>
    <t>Wise Child</t>
  </si>
  <si>
    <t>excellent book about traditional wisdom and group fear. would recommend</t>
  </si>
  <si>
    <t>Crispin: The Cross of Lead</t>
  </si>
  <si>
    <t>a fun adventure in reformation England</t>
  </si>
  <si>
    <t>Malcom Gladwell</t>
  </si>
  <si>
    <t>lots of factors affect success</t>
  </si>
  <si>
    <t>David and Goliath: Underdogs, Misfits, and the Art of Battling Giants</t>
  </si>
  <si>
    <t>basically a collection of fatalist short stories meant to be inspiring</t>
  </si>
  <si>
    <t>Outliers: the Story of Success</t>
  </si>
  <si>
    <t>Crome Yellow</t>
  </si>
  <si>
    <t>relatable early 20s angst</t>
  </si>
  <si>
    <t>Deadeye Dick</t>
  </si>
  <si>
    <t>bleak view of life, rather add</t>
  </si>
  <si>
    <t>Richard Wright</t>
  </si>
  <si>
    <t>Native Son</t>
  </si>
  <si>
    <t>HEAVY emotional reading, excellent description of apartheid America</t>
  </si>
  <si>
    <t>Anthony Burgess</t>
  </si>
  <si>
    <t>A Clockwork Orange</t>
  </si>
  <si>
    <t>a coming-of-age book about free will, innate morality, and full of anglicized russian slang</t>
  </si>
  <si>
    <t>Patricia Highsmith</t>
  </si>
  <si>
    <t>The Talented Mr. Ripley</t>
  </si>
  <si>
    <t>fantastic suspenseful story of an asexual antihero</t>
  </si>
  <si>
    <t>Stieg Larsson</t>
  </si>
  <si>
    <t>The Girl with the Dragon Tattoo</t>
  </si>
  <si>
    <t>Murder mystery that's totally deranged</t>
  </si>
  <si>
    <t>The Simarillion</t>
  </si>
  <si>
    <t>The Old Testament of LOTR</t>
  </si>
  <si>
    <t>Erik Svensson</t>
  </si>
  <si>
    <t>The Book of Eels: Our Enduring Fascination with the most Mysterious Creature in the Natural World</t>
  </si>
  <si>
    <t>successfully educates, but filled with irrelevant drivel</t>
  </si>
  <si>
    <t>Kevin Simler, Robin Hanson</t>
  </si>
  <si>
    <t>The Elephant in the Brain: Hidden Motives in Everyday Life</t>
  </si>
  <si>
    <t>behavioral psychology, use for education!!</t>
  </si>
  <si>
    <t>William Golding</t>
  </si>
  <si>
    <t>Lord of the Flies</t>
  </si>
  <si>
    <t>definitely a cynical take on the human psyche</t>
  </si>
  <si>
    <t>Vaster than Empires and More Slow</t>
  </si>
  <si>
    <t>Buffalo Gals, Won't You Come Out Tonight</t>
  </si>
  <si>
    <t>Hernes</t>
  </si>
  <si>
    <t>The Matter of Seggri</t>
  </si>
  <si>
    <t>Another Story or a Fisherman of the Inland Sea</t>
  </si>
  <si>
    <t>Forgiveness Day</t>
  </si>
  <si>
    <t>consciousness and empathy</t>
  </si>
  <si>
    <t>modern-day native myth</t>
  </si>
  <si>
    <t>achronistic multi-generational story</t>
  </si>
  <si>
    <t>gender and sex in matriarchy</t>
  </si>
  <si>
    <t>families of 4 and time travel</t>
  </si>
  <si>
    <t>slavery and colonialism and gender</t>
  </si>
  <si>
    <t>A Man of the People</t>
  </si>
  <si>
    <t>A Woman's Liberation</t>
  </si>
  <si>
    <t>Old Music and the Slave Women</t>
  </si>
  <si>
    <t>trauma and education</t>
  </si>
  <si>
    <t>relative knowledge and truth</t>
  </si>
  <si>
    <t>a bit of politics, older hero</t>
  </si>
  <si>
    <t>Dragonfly</t>
  </si>
  <si>
    <t>The Finder</t>
  </si>
  <si>
    <t>On the High Marsh</t>
  </si>
  <si>
    <t>Paradises Lost</t>
  </si>
  <si>
    <t>Gender roles, patriarchy, tradition, balance</t>
  </si>
  <si>
    <t>regular fantasy story</t>
  </si>
  <si>
    <t>changing character, redemption</t>
  </si>
  <si>
    <t>religion, reality, inspiration for Stargate universe</t>
  </si>
  <si>
    <t>Author</t>
  </si>
  <si>
    <t>Title</t>
  </si>
  <si>
    <t>Year,Rating,Date,Notes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</si>
</sst>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4</xdr:row>
          <xdr:rowOff>31750</xdr:rowOff>
        </xdr:from>
        <xdr:to>
          <xdr:col>5</xdr:col>
          <xdr:colOff>590550</xdr:colOff>
          <xdr:row>6</xdr:row>
          <xdr:rowOff>69850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Among_the_Enemy" TargetMode="External"/><Relationship Id="rId21" Type="http://schemas.openxmlformats.org/officeDocument/2006/relationships/hyperlink" Target="https://en.wikipedia.org/wiki/Among_the_Hidden" TargetMode="External"/><Relationship Id="rId42" Type="http://schemas.openxmlformats.org/officeDocument/2006/relationships/hyperlink" Target="https://en.wikipedia.org/wiki/D.J._MacHale" TargetMode="External"/><Relationship Id="rId47" Type="http://schemas.openxmlformats.org/officeDocument/2006/relationships/hyperlink" Target="https://en.wikipedia.org/wiki/The_Sorcerer_in_the_North" TargetMode="External"/><Relationship Id="rId63" Type="http://schemas.openxmlformats.org/officeDocument/2006/relationships/hyperlink" Target="https://en.wikipedia.org/wiki/A_Dangerous_Path" TargetMode="External"/><Relationship Id="rId68" Type="http://schemas.openxmlformats.org/officeDocument/2006/relationships/hyperlink" Target="https://en.wikipedia.org/wiki/Yellowfang%27s_Secret" TargetMode="External"/><Relationship Id="rId2" Type="http://schemas.openxmlformats.org/officeDocument/2006/relationships/hyperlink" Target="https://en.wikipedia.org/wiki/The_Tombs_of_Atuan" TargetMode="External"/><Relationship Id="rId16" Type="http://schemas.openxmlformats.org/officeDocument/2006/relationships/hyperlink" Target="https://en.wikipedia.org/wiki/Foundation_and_Earth" TargetMode="External"/><Relationship Id="rId29" Type="http://schemas.openxmlformats.org/officeDocument/2006/relationships/hyperlink" Target="https://en.wikipedia.org/wiki/The_Missing_(novel_series)" TargetMode="External"/><Relationship Id="rId11" Type="http://schemas.openxmlformats.org/officeDocument/2006/relationships/hyperlink" Target="https://en.wikipedia.org/wiki/The_Last_Battle" TargetMode="External"/><Relationship Id="rId24" Type="http://schemas.openxmlformats.org/officeDocument/2006/relationships/hyperlink" Target="https://en.wikipedia.org/wiki/Among_the_Barons" TargetMode="External"/><Relationship Id="rId32" Type="http://schemas.openxmlformats.org/officeDocument/2006/relationships/hyperlink" Target="https://en.wikipedia.org/wiki/The_Missing_(novel_series)" TargetMode="External"/><Relationship Id="rId37" Type="http://schemas.openxmlformats.org/officeDocument/2006/relationships/hyperlink" Target="https://en.wikipedia.org/wiki/Just_Ella" TargetMode="External"/><Relationship Id="rId40" Type="http://schemas.openxmlformats.org/officeDocument/2006/relationships/hyperlink" Target="https://en.wikipedia.org/wiki/Double_Identity_(Haddix_novel)" TargetMode="External"/><Relationship Id="rId45" Type="http://schemas.openxmlformats.org/officeDocument/2006/relationships/hyperlink" Target="https://en.wikipedia.org/wiki/The_Icebound_Land" TargetMode="External"/><Relationship Id="rId53" Type="http://schemas.openxmlformats.org/officeDocument/2006/relationships/hyperlink" Target="https://en.wikipedia.org/wiki/The_Lost_Stories" TargetMode="External"/><Relationship Id="rId58" Type="http://schemas.openxmlformats.org/officeDocument/2006/relationships/hyperlink" Target="https://en.wikipedia.org/wiki/Scorpion_Mountain" TargetMode="External"/><Relationship Id="rId66" Type="http://schemas.openxmlformats.org/officeDocument/2006/relationships/hyperlink" Target="https://en.wikipedia.org/wiki/Bluestar%27s_Prophecy" TargetMode="External"/><Relationship Id="rId74" Type="http://schemas.openxmlformats.org/officeDocument/2006/relationships/hyperlink" Target="https://en.wikipedia.org/wiki/The_Invasion_(novel)" TargetMode="External"/><Relationship Id="rId5" Type="http://schemas.openxmlformats.org/officeDocument/2006/relationships/hyperlink" Target="https://en.wikipedia.org/wiki/Tales_from_Earthsea" TargetMode="External"/><Relationship Id="rId61" Type="http://schemas.openxmlformats.org/officeDocument/2006/relationships/hyperlink" Target="https://en.wikipedia.org/wiki/Forest_of_Secrets" TargetMode="External"/><Relationship Id="rId19" Type="http://schemas.openxmlformats.org/officeDocument/2006/relationships/hyperlink" Target="https://en.wikipedia.org/wiki/The_Dark_Is_Rising_Sequence" TargetMode="External"/><Relationship Id="rId14" Type="http://schemas.openxmlformats.org/officeDocument/2006/relationships/hyperlink" Target="https://en.wikipedia.org/wiki/Second_Foundation" TargetMode="External"/><Relationship Id="rId22" Type="http://schemas.openxmlformats.org/officeDocument/2006/relationships/hyperlink" Target="https://en.wikipedia.org/wiki/Among_the_Impostors" TargetMode="External"/><Relationship Id="rId27" Type="http://schemas.openxmlformats.org/officeDocument/2006/relationships/hyperlink" Target="https://en.wikipedia.org/wiki/Among_the_Free" TargetMode="External"/><Relationship Id="rId30" Type="http://schemas.openxmlformats.org/officeDocument/2006/relationships/hyperlink" Target="https://en.wikipedia.org/wiki/The_Missing_(novel_series)" TargetMode="External"/><Relationship Id="rId35" Type="http://schemas.openxmlformats.org/officeDocument/2006/relationships/hyperlink" Target="https://en.wikipedia.org/wiki/The_Missing_(novel_series)" TargetMode="External"/><Relationship Id="rId43" Type="http://schemas.openxmlformats.org/officeDocument/2006/relationships/hyperlink" Target="https://en.wikipedia.org/wiki/The_Ruins_of_Gorlan" TargetMode="External"/><Relationship Id="rId48" Type="http://schemas.openxmlformats.org/officeDocument/2006/relationships/hyperlink" Target="https://en.wikipedia.org/wiki/The_Siege_of_Macindaw" TargetMode="External"/><Relationship Id="rId56" Type="http://schemas.openxmlformats.org/officeDocument/2006/relationships/hyperlink" Target="https://en.wikipedia.org/wiki/The_Hunters_(Brotherband)" TargetMode="External"/><Relationship Id="rId64" Type="http://schemas.openxmlformats.org/officeDocument/2006/relationships/hyperlink" Target="https://en.wikipedia.org/wiki/The_Darkest_Hour_(Warriors)" TargetMode="External"/><Relationship Id="rId69" Type="http://schemas.openxmlformats.org/officeDocument/2006/relationships/hyperlink" Target="https://en.wikipedia.org/wiki/The_Quest_Begins" TargetMode="External"/><Relationship Id="rId8" Type="http://schemas.openxmlformats.org/officeDocument/2006/relationships/hyperlink" Target="https://en.wikipedia.org/wiki/The_Voyage_of_the_Dawn_Treader" TargetMode="External"/><Relationship Id="rId51" Type="http://schemas.openxmlformats.org/officeDocument/2006/relationships/hyperlink" Target="https://en.wikipedia.org/wiki/Halt%27s_Peril" TargetMode="External"/><Relationship Id="rId72" Type="http://schemas.openxmlformats.org/officeDocument/2006/relationships/hyperlink" Target="https://en.wikipedia.org/wiki/The_Last_Wilderness" TargetMode="External"/><Relationship Id="rId3" Type="http://schemas.openxmlformats.org/officeDocument/2006/relationships/hyperlink" Target="https://en.wikipedia.org/wiki/The_Farthest_Shore" TargetMode="External"/><Relationship Id="rId12" Type="http://schemas.openxmlformats.org/officeDocument/2006/relationships/hyperlink" Target="https://en.wikipedia.org/wiki/Foundation_(Isaac_Asimov_novel)" TargetMode="External"/><Relationship Id="rId17" Type="http://schemas.openxmlformats.org/officeDocument/2006/relationships/hyperlink" Target="https://en.wikipedia.org/wiki/The_Dark_Is_Rising_Sequence" TargetMode="External"/><Relationship Id="rId25" Type="http://schemas.openxmlformats.org/officeDocument/2006/relationships/hyperlink" Target="https://en.wikipedia.org/wiki/Among_the_Brave" TargetMode="External"/><Relationship Id="rId33" Type="http://schemas.openxmlformats.org/officeDocument/2006/relationships/hyperlink" Target="https://en.wikipedia.org/wiki/The_Missing_(novel_series)" TargetMode="External"/><Relationship Id="rId38" Type="http://schemas.openxmlformats.org/officeDocument/2006/relationships/hyperlink" Target="https://en.wikipedia.org/wiki/Turnabout_(Haddix_novel)" TargetMode="External"/><Relationship Id="rId46" Type="http://schemas.openxmlformats.org/officeDocument/2006/relationships/hyperlink" Target="https://en.wikipedia.org/wiki/Oakleaf_Bearers" TargetMode="External"/><Relationship Id="rId59" Type="http://schemas.openxmlformats.org/officeDocument/2006/relationships/hyperlink" Target="https://en.wikipedia.org/wiki/Into_the_Wild_(Warriors)" TargetMode="External"/><Relationship Id="rId67" Type="http://schemas.openxmlformats.org/officeDocument/2006/relationships/hyperlink" Target="https://en.wikipedia.org/wiki/SkyClan%27s_Destiny" TargetMode="External"/><Relationship Id="rId20" Type="http://schemas.openxmlformats.org/officeDocument/2006/relationships/hyperlink" Target="https://en.wikipedia.org/wiki/The_Dark_Is_Rising_Sequence" TargetMode="External"/><Relationship Id="rId41" Type="http://schemas.openxmlformats.org/officeDocument/2006/relationships/hyperlink" Target="https://en.wikipedia.org/wiki/Claim_to_Fame" TargetMode="External"/><Relationship Id="rId54" Type="http://schemas.openxmlformats.org/officeDocument/2006/relationships/hyperlink" Target="https://en.wikipedia.org/wiki/The_Outcasts_(novel)" TargetMode="External"/><Relationship Id="rId62" Type="http://schemas.openxmlformats.org/officeDocument/2006/relationships/hyperlink" Target="https://en.wikipedia.org/wiki/Rising_Storm_(novel)" TargetMode="External"/><Relationship Id="rId70" Type="http://schemas.openxmlformats.org/officeDocument/2006/relationships/hyperlink" Target="https://en.wikipedia.org/wiki/Great_Bear_Lake_(novel)" TargetMode="External"/><Relationship Id="rId75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A_Wizard_of_Earthsea" TargetMode="External"/><Relationship Id="rId6" Type="http://schemas.openxmlformats.org/officeDocument/2006/relationships/hyperlink" Target="https://en.wikipedia.org/wiki/The_Other_Wind" TargetMode="External"/><Relationship Id="rId15" Type="http://schemas.openxmlformats.org/officeDocument/2006/relationships/hyperlink" Target="https://en.wikipedia.org/wiki/Foundation%27s_Edge" TargetMode="External"/><Relationship Id="rId23" Type="http://schemas.openxmlformats.org/officeDocument/2006/relationships/hyperlink" Target="https://en.wikipedia.org/wiki/Among_the_Betrayed" TargetMode="External"/><Relationship Id="rId28" Type="http://schemas.openxmlformats.org/officeDocument/2006/relationships/hyperlink" Target="https://en.wikipedia.org/wiki/The_Missing_(novel_series)" TargetMode="External"/><Relationship Id="rId36" Type="http://schemas.openxmlformats.org/officeDocument/2006/relationships/hyperlink" Target="https://en.wikipedia.org/wiki/Leaving_Fishers" TargetMode="External"/><Relationship Id="rId49" Type="http://schemas.openxmlformats.org/officeDocument/2006/relationships/hyperlink" Target="https://en.wikipedia.org/wiki/Erak%27s_Ransom" TargetMode="External"/><Relationship Id="rId57" Type="http://schemas.openxmlformats.org/officeDocument/2006/relationships/hyperlink" Target="https://en.wikipedia.org/wiki/Slaves_of_Socorro" TargetMode="External"/><Relationship Id="rId10" Type="http://schemas.openxmlformats.org/officeDocument/2006/relationships/hyperlink" Target="https://en.wikipedia.org/wiki/The_Horse_and_His_Boy" TargetMode="External"/><Relationship Id="rId31" Type="http://schemas.openxmlformats.org/officeDocument/2006/relationships/hyperlink" Target="https://en.wikipedia.org/wiki/The_Missing_(novel_series)" TargetMode="External"/><Relationship Id="rId44" Type="http://schemas.openxmlformats.org/officeDocument/2006/relationships/hyperlink" Target="https://en.wikipedia.org/wiki/The_Burning_Bridge" TargetMode="External"/><Relationship Id="rId52" Type="http://schemas.openxmlformats.org/officeDocument/2006/relationships/hyperlink" Target="https://en.wikipedia.org/wiki/The_Emperor_of_Nihon-Ja" TargetMode="External"/><Relationship Id="rId60" Type="http://schemas.openxmlformats.org/officeDocument/2006/relationships/hyperlink" Target="https://en.wikipedia.org/wiki/Fire_and_Ice_(Warriors)" TargetMode="External"/><Relationship Id="rId65" Type="http://schemas.openxmlformats.org/officeDocument/2006/relationships/hyperlink" Target="https://en.wikipedia.org/wiki/Firestar%27s_Quest" TargetMode="External"/><Relationship Id="rId73" Type="http://schemas.openxmlformats.org/officeDocument/2006/relationships/hyperlink" Target="https://en.wikipedia.org/wiki/Fire_in_the_Sky_(Seekers)" TargetMode="External"/><Relationship Id="rId4" Type="http://schemas.openxmlformats.org/officeDocument/2006/relationships/hyperlink" Target="https://en.wikipedia.org/wiki/Tehanu" TargetMode="External"/><Relationship Id="rId9" Type="http://schemas.openxmlformats.org/officeDocument/2006/relationships/hyperlink" Target="https://en.wikipedia.org/wiki/The_Silver_Chair" TargetMode="External"/><Relationship Id="rId13" Type="http://schemas.openxmlformats.org/officeDocument/2006/relationships/hyperlink" Target="https://en.wikipedia.org/wiki/Foundation_and_Empire" TargetMode="External"/><Relationship Id="rId18" Type="http://schemas.openxmlformats.org/officeDocument/2006/relationships/hyperlink" Target="https://en.wikipedia.org/wiki/The_Dark_Is_Rising_Sequence" TargetMode="External"/><Relationship Id="rId39" Type="http://schemas.openxmlformats.org/officeDocument/2006/relationships/hyperlink" Target="https://en.wikipedia.org/wiki/Escape_from_Memory" TargetMode="External"/><Relationship Id="rId34" Type="http://schemas.openxmlformats.org/officeDocument/2006/relationships/hyperlink" Target="https://en.wikipedia.org/wiki/The_Missing_(novel_series)" TargetMode="External"/><Relationship Id="rId50" Type="http://schemas.openxmlformats.org/officeDocument/2006/relationships/hyperlink" Target="https://en.wikipedia.org/wiki/The_Kings_of_Clonmel" TargetMode="External"/><Relationship Id="rId55" Type="http://schemas.openxmlformats.org/officeDocument/2006/relationships/hyperlink" Target="https://en.wikipedia.org/wiki/The_Invaders_(novel)" TargetMode="External"/><Relationship Id="rId7" Type="http://schemas.openxmlformats.org/officeDocument/2006/relationships/hyperlink" Target="https://en.wikipedia.org/wiki/Prince_Caspian" TargetMode="External"/><Relationship Id="rId71" Type="http://schemas.openxmlformats.org/officeDocument/2006/relationships/hyperlink" Target="https://en.wikipedia.org/wiki/Smoke_Mountai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0CA3B-AC76-448B-BB90-EA0700049577}">
  <sheetPr codeName="Sheet1"/>
  <dimension ref="A1:BI603"/>
  <sheetViews>
    <sheetView zoomScale="96" zoomScaleNormal="57" workbookViewId="0">
      <pane xSplit="2" topLeftCell="C1" activePane="topRight" state="frozen"/>
      <selection activeCell="D282" sqref="D282:E282"/>
      <selection pane="topRight" activeCell="V5" sqref="V5"/>
    </sheetView>
  </sheetViews>
  <sheetFormatPr defaultColWidth="8.7265625" defaultRowHeight="14.5" x14ac:dyDescent="0.35"/>
  <cols>
    <col min="1" max="1" width="34.54296875" style="11" hidden="1" customWidth="1"/>
    <col min="2" max="2" width="15.36328125" style="11" customWidth="1"/>
    <col min="3" max="3" width="15.6328125" style="11" bestFit="1" customWidth="1"/>
    <col min="4" max="4" width="16.81640625" style="11" bestFit="1" customWidth="1"/>
    <col min="5" max="5" width="19.26953125" style="11" bestFit="1" customWidth="1"/>
    <col min="6" max="6" width="23.08984375" style="11" bestFit="1" customWidth="1"/>
    <col min="7" max="7" width="16.1796875" style="11" bestFit="1" customWidth="1"/>
    <col min="8" max="8" width="18.1796875" style="11" bestFit="1" customWidth="1"/>
    <col min="9" max="9" width="12.26953125" style="11" bestFit="1" customWidth="1"/>
    <col min="10" max="12" width="17.453125" style="11" bestFit="1" customWidth="1"/>
    <col min="13" max="62" width="12.54296875" style="11" bestFit="1" customWidth="1"/>
    <col min="63" max="16384" width="8.7265625" style="11"/>
  </cols>
  <sheetData>
    <row r="1" spans="1:26" s="10" customFormat="1" x14ac:dyDescent="0.35">
      <c r="A1" s="10" t="str">
        <f t="shared" ref="A1:A64" si="0">TRIM(RIGHT(SUBSTITUTE(B1," ",REPT(" ",LEN(B1))),LEN(B1)))</f>
        <v>L'Engle</v>
      </c>
      <c r="B1" s="10" t="s">
        <v>0</v>
      </c>
      <c r="C1" s="10" t="s">
        <v>1</v>
      </c>
      <c r="D1" s="10" t="s">
        <v>2</v>
      </c>
      <c r="E1" s="10" t="s">
        <v>3</v>
      </c>
      <c r="F1" s="10" t="s">
        <v>4</v>
      </c>
      <c r="G1" s="10" t="s">
        <v>5</v>
      </c>
      <c r="H1" s="10" t="s">
        <v>6</v>
      </c>
      <c r="I1" s="10" t="s">
        <v>7</v>
      </c>
    </row>
    <row r="2" spans="1:26" x14ac:dyDescent="0.35">
      <c r="A2" s="11" t="str">
        <f t="shared" si="0"/>
        <v>Paolini</v>
      </c>
      <c r="B2" s="11" t="s">
        <v>8</v>
      </c>
      <c r="C2" s="11" t="s">
        <v>9</v>
      </c>
      <c r="D2" s="11" t="s">
        <v>10</v>
      </c>
      <c r="E2" s="11" t="s">
        <v>11</v>
      </c>
      <c r="F2" s="11" t="s">
        <v>12</v>
      </c>
    </row>
    <row r="3" spans="1:26" ht="14.5" customHeight="1" x14ac:dyDescent="0.35">
      <c r="A3" s="11" t="str">
        <f t="shared" si="0"/>
        <v>Riordan</v>
      </c>
      <c r="B3" s="11" t="s">
        <v>13</v>
      </c>
      <c r="C3" s="11" t="s">
        <v>14</v>
      </c>
      <c r="D3" s="11" t="s">
        <v>15</v>
      </c>
      <c r="E3" s="11" t="s">
        <v>16</v>
      </c>
      <c r="F3" s="11" t="s">
        <v>17</v>
      </c>
      <c r="G3" s="11" t="s">
        <v>18</v>
      </c>
      <c r="H3" s="11" t="s">
        <v>19</v>
      </c>
      <c r="I3" s="11" t="s">
        <v>20</v>
      </c>
      <c r="J3" s="11" t="s">
        <v>21</v>
      </c>
      <c r="K3" s="11" t="s">
        <v>22</v>
      </c>
      <c r="L3" s="11" t="s">
        <v>23</v>
      </c>
      <c r="M3" s="11" t="s">
        <v>24</v>
      </c>
      <c r="N3" s="11" t="s">
        <v>25</v>
      </c>
      <c r="O3" s="11" t="s">
        <v>26</v>
      </c>
      <c r="P3" s="11" t="s">
        <v>27</v>
      </c>
      <c r="Q3" s="11" t="s">
        <v>28</v>
      </c>
      <c r="R3" s="11" t="s">
        <v>29</v>
      </c>
      <c r="S3" s="11" t="s">
        <v>30</v>
      </c>
      <c r="T3" s="11" t="s">
        <v>31</v>
      </c>
      <c r="U3" s="11" t="s">
        <v>32</v>
      </c>
    </row>
    <row r="4" spans="1:26" ht="14.5" customHeight="1" x14ac:dyDescent="0.35">
      <c r="A4" s="11" t="str">
        <f t="shared" si="0"/>
        <v>Jaques</v>
      </c>
      <c r="B4" s="11" t="s">
        <v>33</v>
      </c>
      <c r="C4" s="11" t="s">
        <v>34</v>
      </c>
      <c r="D4" s="11" t="s">
        <v>35</v>
      </c>
      <c r="E4" s="11" t="s">
        <v>36</v>
      </c>
      <c r="F4" s="11" t="s">
        <v>37</v>
      </c>
      <c r="G4" s="11" t="s">
        <v>38</v>
      </c>
      <c r="H4" s="11" t="s">
        <v>39</v>
      </c>
      <c r="I4" s="11" t="s">
        <v>40</v>
      </c>
      <c r="J4" s="11" t="s">
        <v>41</v>
      </c>
      <c r="K4" s="11" t="s">
        <v>42</v>
      </c>
      <c r="L4" s="11" t="s">
        <v>43</v>
      </c>
      <c r="M4" s="11" t="s">
        <v>44</v>
      </c>
      <c r="N4" s="11" t="s">
        <v>45</v>
      </c>
      <c r="O4" s="11" t="s">
        <v>46</v>
      </c>
      <c r="P4" s="11" t="s">
        <v>47</v>
      </c>
      <c r="Q4" s="11" t="s">
        <v>48</v>
      </c>
      <c r="R4" s="11" t="s">
        <v>49</v>
      </c>
      <c r="S4" s="11" t="s">
        <v>50</v>
      </c>
      <c r="T4" s="11" t="s">
        <v>51</v>
      </c>
      <c r="U4" s="11" t="s">
        <v>52</v>
      </c>
      <c r="V4" s="11" t="s">
        <v>53</v>
      </c>
      <c r="W4" s="11" t="s">
        <v>54</v>
      </c>
      <c r="X4" s="11" t="s">
        <v>55</v>
      </c>
      <c r="Y4" s="11" t="s">
        <v>56</v>
      </c>
      <c r="Z4" s="11" t="s">
        <v>57</v>
      </c>
    </row>
    <row r="5" spans="1:26" ht="14.5" customHeight="1" x14ac:dyDescent="0.35">
      <c r="A5" s="11" t="str">
        <f t="shared" si="0"/>
        <v>Guin</v>
      </c>
      <c r="B5" s="11" t="s">
        <v>58</v>
      </c>
      <c r="C5" s="11" t="s">
        <v>59</v>
      </c>
      <c r="D5" s="11" t="s">
        <v>60</v>
      </c>
      <c r="E5" s="11" t="s">
        <v>61</v>
      </c>
      <c r="F5" s="11" t="s">
        <v>62</v>
      </c>
      <c r="G5" s="11" t="s">
        <v>63</v>
      </c>
      <c r="H5" s="11" t="s">
        <v>64</v>
      </c>
      <c r="I5" s="11" t="s">
        <v>65</v>
      </c>
      <c r="J5" s="11" t="s">
        <v>1761</v>
      </c>
      <c r="K5" s="11" t="s">
        <v>1762</v>
      </c>
      <c r="L5" s="11" t="s">
        <v>1763</v>
      </c>
      <c r="M5" s="11" t="s">
        <v>1764</v>
      </c>
      <c r="N5" s="11" t="s">
        <v>1765</v>
      </c>
      <c r="O5" s="11" t="s">
        <v>1766</v>
      </c>
      <c r="P5" s="11" t="s">
        <v>1773</v>
      </c>
      <c r="Q5" s="11" t="s">
        <v>1774</v>
      </c>
      <c r="R5" s="11" t="s">
        <v>1775</v>
      </c>
      <c r="S5" s="11" t="s">
        <v>1779</v>
      </c>
      <c r="T5" s="11" t="s">
        <v>1780</v>
      </c>
      <c r="U5" s="11" t="s">
        <v>1781</v>
      </c>
      <c r="V5" s="11" t="s">
        <v>1782</v>
      </c>
    </row>
    <row r="6" spans="1:26" ht="14.5" customHeight="1" x14ac:dyDescent="0.35">
      <c r="A6" s="11" t="str">
        <f t="shared" si="0"/>
        <v>Stephens-Davidowitz</v>
      </c>
      <c r="B6" s="11" t="s">
        <v>66</v>
      </c>
      <c r="C6" s="11" t="s">
        <v>67</v>
      </c>
    </row>
    <row r="7" spans="1:26" ht="14.5" customHeight="1" x14ac:dyDescent="0.35">
      <c r="A7" s="11" t="str">
        <f t="shared" si="0"/>
        <v>Lewis</v>
      </c>
      <c r="B7" s="11" t="s">
        <v>68</v>
      </c>
      <c r="C7" s="11" t="s">
        <v>69</v>
      </c>
      <c r="D7" s="11" t="s">
        <v>70</v>
      </c>
      <c r="E7" s="11" t="s">
        <v>71</v>
      </c>
      <c r="F7" s="11" t="s">
        <v>72</v>
      </c>
      <c r="G7" s="11" t="s">
        <v>73</v>
      </c>
      <c r="H7" s="11" t="s">
        <v>74</v>
      </c>
      <c r="I7" s="11" t="s">
        <v>75</v>
      </c>
      <c r="J7" s="11" t="s">
        <v>76</v>
      </c>
      <c r="K7" s="11" t="s">
        <v>77</v>
      </c>
    </row>
    <row r="8" spans="1:26" x14ac:dyDescent="0.35">
      <c r="A8" s="11" t="str">
        <f t="shared" si="0"/>
        <v>Choung</v>
      </c>
      <c r="B8" s="11" t="s">
        <v>78</v>
      </c>
      <c r="C8" s="11" t="s">
        <v>79</v>
      </c>
    </row>
    <row r="9" spans="1:26" ht="14.5" customHeight="1" x14ac:dyDescent="0.35">
      <c r="A9" s="11" t="str">
        <f t="shared" si="0"/>
        <v>Huxley</v>
      </c>
      <c r="B9" s="11" t="s">
        <v>80</v>
      </c>
      <c r="C9" s="11" t="s">
        <v>81</v>
      </c>
      <c r="D9" s="11" t="s">
        <v>1734</v>
      </c>
    </row>
    <row r="10" spans="1:26" ht="14.5" customHeight="1" x14ac:dyDescent="0.35">
      <c r="A10" s="11" t="str">
        <f t="shared" si="0"/>
        <v>Asimov</v>
      </c>
      <c r="B10" s="11" t="s">
        <v>1543</v>
      </c>
      <c r="C10" s="11" t="s">
        <v>82</v>
      </c>
      <c r="D10" s="11" t="s">
        <v>83</v>
      </c>
      <c r="E10" s="11" t="s">
        <v>84</v>
      </c>
      <c r="F10" s="11" t="s">
        <v>85</v>
      </c>
      <c r="G10" s="11" t="s">
        <v>86</v>
      </c>
      <c r="H10" s="11" t="s">
        <v>87</v>
      </c>
      <c r="I10" s="11" t="s">
        <v>1556</v>
      </c>
    </row>
    <row r="11" spans="1:26" ht="15" customHeight="1" x14ac:dyDescent="0.35">
      <c r="A11" s="11" t="str">
        <f t="shared" si="0"/>
        <v>Tolkien</v>
      </c>
      <c r="B11" s="11" t="s">
        <v>88</v>
      </c>
      <c r="C11" s="11" t="s">
        <v>89</v>
      </c>
      <c r="D11" s="11" t="s">
        <v>90</v>
      </c>
      <c r="E11" s="11" t="s">
        <v>91</v>
      </c>
      <c r="F11" s="11" t="s">
        <v>92</v>
      </c>
      <c r="G11" s="11" t="s">
        <v>93</v>
      </c>
      <c r="H11" s="11" t="s">
        <v>1750</v>
      </c>
    </row>
    <row r="12" spans="1:26" x14ac:dyDescent="0.35">
      <c r="A12" s="11" t="str">
        <f t="shared" si="0"/>
        <v>Cooper</v>
      </c>
      <c r="B12" s="11" t="s">
        <v>94</v>
      </c>
      <c r="C12" s="11" t="s">
        <v>95</v>
      </c>
      <c r="D12" s="11" t="s">
        <v>96</v>
      </c>
      <c r="E12" s="11" t="s">
        <v>97</v>
      </c>
      <c r="F12" s="11" t="s">
        <v>98</v>
      </c>
      <c r="G12" s="11" t="s">
        <v>99</v>
      </c>
      <c r="H12" s="11" t="s">
        <v>100</v>
      </c>
      <c r="I12" s="11" t="s">
        <v>1476</v>
      </c>
    </row>
    <row r="13" spans="1:26" x14ac:dyDescent="0.35">
      <c r="A13" s="11" t="str">
        <f t="shared" si="0"/>
        <v>Sage</v>
      </c>
      <c r="B13" s="11" t="s">
        <v>101</v>
      </c>
      <c r="C13" s="11" t="s">
        <v>102</v>
      </c>
      <c r="D13" s="11" t="s">
        <v>103</v>
      </c>
      <c r="E13" s="11" t="s">
        <v>104</v>
      </c>
      <c r="F13" s="11" t="s">
        <v>105</v>
      </c>
      <c r="G13" s="11" t="s">
        <v>106</v>
      </c>
      <c r="H13" s="11" t="s">
        <v>107</v>
      </c>
      <c r="I13" s="11" t="s">
        <v>108</v>
      </c>
      <c r="J13" s="11" t="s">
        <v>109</v>
      </c>
      <c r="K13" s="11" t="s">
        <v>110</v>
      </c>
      <c r="L13" s="11" t="s">
        <v>111</v>
      </c>
    </row>
    <row r="14" spans="1:26" x14ac:dyDescent="0.35">
      <c r="A14" s="11" t="str">
        <f t="shared" si="0"/>
        <v>Law</v>
      </c>
      <c r="B14" s="11" t="s">
        <v>112</v>
      </c>
      <c r="C14" s="11" t="s">
        <v>113</v>
      </c>
      <c r="D14" s="11" t="s">
        <v>114</v>
      </c>
    </row>
    <row r="15" spans="1:26" x14ac:dyDescent="0.35">
      <c r="A15" s="11" t="str">
        <f t="shared" si="0"/>
        <v>Herbert</v>
      </c>
      <c r="B15" s="11" t="s">
        <v>115</v>
      </c>
      <c r="C15" s="11" t="s">
        <v>116</v>
      </c>
      <c r="D15" s="11" t="s">
        <v>117</v>
      </c>
      <c r="E15" s="11" t="s">
        <v>118</v>
      </c>
      <c r="F15" s="11" t="s">
        <v>119</v>
      </c>
      <c r="G15" s="11" t="s">
        <v>1689</v>
      </c>
      <c r="H15" s="11" t="s">
        <v>1691</v>
      </c>
      <c r="I15" s="11" t="s">
        <v>1697</v>
      </c>
    </row>
    <row r="16" spans="1:26" x14ac:dyDescent="0.35">
      <c r="A16" s="11" t="str">
        <f t="shared" si="0"/>
        <v>Herbert</v>
      </c>
      <c r="B16" s="11" t="s">
        <v>1633</v>
      </c>
      <c r="C16" s="11" t="s">
        <v>120</v>
      </c>
      <c r="D16" s="11" t="s">
        <v>121</v>
      </c>
      <c r="E16" s="11" t="s">
        <v>122</v>
      </c>
      <c r="F16" s="11" t="s">
        <v>123</v>
      </c>
      <c r="G16" s="11" t="s">
        <v>124</v>
      </c>
      <c r="H16" s="11" t="s">
        <v>125</v>
      </c>
      <c r="I16" s="11" t="s">
        <v>126</v>
      </c>
      <c r="J16" s="11" t="s">
        <v>1705</v>
      </c>
      <c r="K16" s="11" t="s">
        <v>1715</v>
      </c>
      <c r="L16" s="11" t="s">
        <v>1712</v>
      </c>
      <c r="M16" s="11" t="s">
        <v>1716</v>
      </c>
    </row>
    <row r="17" spans="1:26" ht="14.5" customHeight="1" x14ac:dyDescent="0.35">
      <c r="A17" s="11" t="str">
        <f t="shared" si="0"/>
        <v>Dashner</v>
      </c>
      <c r="B17" s="11" t="s">
        <v>127</v>
      </c>
      <c r="C17" s="11" t="s">
        <v>128</v>
      </c>
      <c r="D17" s="11" t="s">
        <v>129</v>
      </c>
      <c r="E17" s="11" t="s">
        <v>130</v>
      </c>
      <c r="F17" s="11" t="s">
        <v>131</v>
      </c>
      <c r="G17" s="11" t="s">
        <v>132</v>
      </c>
      <c r="H17" s="11" t="s">
        <v>133</v>
      </c>
      <c r="I17" s="11" t="s">
        <v>134</v>
      </c>
      <c r="J17" s="11" t="s">
        <v>135</v>
      </c>
      <c r="K17" s="11" t="s">
        <v>136</v>
      </c>
      <c r="L17" s="11" t="s">
        <v>137</v>
      </c>
      <c r="M17" s="11" t="s">
        <v>138</v>
      </c>
      <c r="N17" s="11" t="s">
        <v>139</v>
      </c>
    </row>
    <row r="18" spans="1:26" x14ac:dyDescent="0.35">
      <c r="A18" s="11" t="str">
        <f t="shared" si="0"/>
        <v>Haddix</v>
      </c>
      <c r="B18" s="11" t="s">
        <v>140</v>
      </c>
      <c r="C18" s="11" t="s">
        <v>141</v>
      </c>
      <c r="D18" s="11" t="s">
        <v>142</v>
      </c>
      <c r="E18" s="11" t="s">
        <v>143</v>
      </c>
      <c r="F18" s="11" t="s">
        <v>144</v>
      </c>
      <c r="G18" s="11" t="s">
        <v>145</v>
      </c>
      <c r="H18" s="11" t="s">
        <v>146</v>
      </c>
      <c r="I18" s="11" t="s">
        <v>147</v>
      </c>
      <c r="J18" s="11" t="s">
        <v>148</v>
      </c>
      <c r="K18" s="11" t="s">
        <v>149</v>
      </c>
      <c r="L18" s="11" t="s">
        <v>150</v>
      </c>
      <c r="M18" s="11" t="s">
        <v>151</v>
      </c>
      <c r="N18" s="11" t="s">
        <v>152</v>
      </c>
      <c r="O18" s="11" t="s">
        <v>153</v>
      </c>
      <c r="P18" s="11" t="s">
        <v>154</v>
      </c>
      <c r="Q18" s="11" t="s">
        <v>155</v>
      </c>
      <c r="R18" s="11" t="s">
        <v>156</v>
      </c>
      <c r="S18" s="11" t="s">
        <v>157</v>
      </c>
      <c r="T18" s="11" t="s">
        <v>158</v>
      </c>
      <c r="U18" s="11" t="s">
        <v>159</v>
      </c>
      <c r="V18" s="11" t="s">
        <v>160</v>
      </c>
      <c r="X18" s="11" t="s">
        <v>161</v>
      </c>
      <c r="Y18" s="11" t="s">
        <v>162</v>
      </c>
      <c r="Z18" s="11" t="s">
        <v>163</v>
      </c>
    </row>
    <row r="19" spans="1:26" x14ac:dyDescent="0.35">
      <c r="A19" s="11" t="str">
        <f t="shared" si="0"/>
        <v>MacHale</v>
      </c>
      <c r="B19" s="11" t="s">
        <v>164</v>
      </c>
      <c r="C19" s="11" t="s">
        <v>165</v>
      </c>
      <c r="D19" s="11" t="s">
        <v>166</v>
      </c>
      <c r="E19" s="11" t="s">
        <v>167</v>
      </c>
      <c r="F19" s="11" t="s">
        <v>168</v>
      </c>
      <c r="G19" s="11" t="s">
        <v>169</v>
      </c>
      <c r="H19" s="11" t="s">
        <v>170</v>
      </c>
      <c r="I19" s="11" t="s">
        <v>171</v>
      </c>
      <c r="J19" s="11" t="s">
        <v>172</v>
      </c>
      <c r="K19" s="11" t="s">
        <v>173</v>
      </c>
      <c r="L19" s="11" t="s">
        <v>174</v>
      </c>
    </row>
    <row r="20" spans="1:26" x14ac:dyDescent="0.35">
      <c r="A20" s="11" t="str">
        <f t="shared" si="0"/>
        <v>Zuzak</v>
      </c>
      <c r="B20" s="11" t="s">
        <v>175</v>
      </c>
      <c r="C20" s="11" t="s">
        <v>176</v>
      </c>
      <c r="D20" s="11" t="s">
        <v>1687</v>
      </c>
    </row>
    <row r="21" spans="1:26" x14ac:dyDescent="0.35">
      <c r="A21" s="11" t="str">
        <f t="shared" si="0"/>
        <v>Collins</v>
      </c>
      <c r="B21" s="11" t="s">
        <v>177</v>
      </c>
      <c r="C21" s="11" t="s">
        <v>178</v>
      </c>
      <c r="D21" s="11" t="s">
        <v>179</v>
      </c>
      <c r="E21" s="11" t="s">
        <v>180</v>
      </c>
      <c r="F21" s="11" t="s">
        <v>181</v>
      </c>
      <c r="G21" s="11" t="s">
        <v>182</v>
      </c>
      <c r="H21" s="11" t="s">
        <v>183</v>
      </c>
      <c r="I21" s="11" t="s">
        <v>184</v>
      </c>
      <c r="J21" s="11" t="s">
        <v>185</v>
      </c>
    </row>
    <row r="22" spans="1:26" x14ac:dyDescent="0.35">
      <c r="A22" s="11" t="str">
        <f t="shared" si="0"/>
        <v>Lowry</v>
      </c>
      <c r="B22" s="11" t="s">
        <v>186</v>
      </c>
      <c r="C22" s="11" t="s">
        <v>187</v>
      </c>
      <c r="D22" s="11" t="s">
        <v>188</v>
      </c>
      <c r="E22" s="11" t="s">
        <v>189</v>
      </c>
      <c r="F22" s="11" t="s">
        <v>190</v>
      </c>
      <c r="G22" s="11" t="s">
        <v>191</v>
      </c>
      <c r="H22" s="11" t="s">
        <v>192</v>
      </c>
    </row>
    <row r="23" spans="1:26" x14ac:dyDescent="0.35">
      <c r="A23" s="11" t="str">
        <f t="shared" si="0"/>
        <v>Funke</v>
      </c>
      <c r="B23" s="11" t="s">
        <v>193</v>
      </c>
      <c r="C23" s="11" t="s">
        <v>194</v>
      </c>
      <c r="D23" s="11" t="s">
        <v>195</v>
      </c>
      <c r="E23" s="11" t="s">
        <v>196</v>
      </c>
      <c r="F23" s="11" t="s">
        <v>197</v>
      </c>
      <c r="G23" s="11" t="s">
        <v>198</v>
      </c>
      <c r="H23" s="11" t="s">
        <v>199</v>
      </c>
    </row>
    <row r="24" spans="1:26" x14ac:dyDescent="0.35">
      <c r="A24" s="11" t="str">
        <f t="shared" si="0"/>
        <v>Sanderson</v>
      </c>
      <c r="B24" s="11" t="s">
        <v>200</v>
      </c>
      <c r="C24" s="11" t="s">
        <v>201</v>
      </c>
      <c r="D24" s="11" t="s">
        <v>202</v>
      </c>
      <c r="E24" s="11" t="s">
        <v>203</v>
      </c>
    </row>
    <row r="25" spans="1:26" x14ac:dyDescent="0.35">
      <c r="A25" s="11" t="str">
        <f t="shared" si="0"/>
        <v>Stross</v>
      </c>
      <c r="B25" s="11" t="s">
        <v>204</v>
      </c>
      <c r="C25" s="11" t="s">
        <v>205</v>
      </c>
      <c r="D25" s="11" t="s">
        <v>206</v>
      </c>
      <c r="E25" s="11" t="s">
        <v>207</v>
      </c>
      <c r="F25" s="11" t="s">
        <v>208</v>
      </c>
      <c r="G25" s="11" t="s">
        <v>209</v>
      </c>
      <c r="H25" s="11" t="s">
        <v>210</v>
      </c>
      <c r="I25" s="11" t="s">
        <v>211</v>
      </c>
      <c r="J25" s="11" t="s">
        <v>212</v>
      </c>
      <c r="K25" s="11" t="s">
        <v>213</v>
      </c>
      <c r="L25" s="11" t="s">
        <v>214</v>
      </c>
      <c r="M25" s="11" t="s">
        <v>215</v>
      </c>
    </row>
    <row r="26" spans="1:26" x14ac:dyDescent="0.35">
      <c r="A26" s="11" t="str">
        <f t="shared" si="0"/>
        <v>Barry</v>
      </c>
      <c r="B26" s="11" t="s">
        <v>216</v>
      </c>
      <c r="C26" s="11" t="s">
        <v>217</v>
      </c>
      <c r="D26" s="11" t="s">
        <v>218</v>
      </c>
      <c r="E26" s="11" t="s">
        <v>219</v>
      </c>
      <c r="F26" s="11" t="s">
        <v>220</v>
      </c>
    </row>
    <row r="27" spans="1:26" x14ac:dyDescent="0.35">
      <c r="A27" s="11" t="str">
        <f t="shared" si="0"/>
        <v>Rowling</v>
      </c>
      <c r="B27" s="11" t="s">
        <v>221</v>
      </c>
      <c r="C27" s="11" t="s">
        <v>222</v>
      </c>
      <c r="D27" s="11" t="s">
        <v>223</v>
      </c>
      <c r="E27" s="11" t="s">
        <v>224</v>
      </c>
      <c r="F27" s="11" t="s">
        <v>225</v>
      </c>
      <c r="G27" s="11" t="s">
        <v>226</v>
      </c>
      <c r="H27" s="11" t="s">
        <v>227</v>
      </c>
      <c r="I27" s="11" t="s">
        <v>228</v>
      </c>
    </row>
    <row r="28" spans="1:26" x14ac:dyDescent="0.35">
      <c r="A28" s="11" t="str">
        <f t="shared" si="0"/>
        <v>McCaffrey</v>
      </c>
      <c r="B28" s="11" t="s">
        <v>1506</v>
      </c>
      <c r="C28" s="11" t="s">
        <v>229</v>
      </c>
      <c r="D28" s="11" t="s">
        <v>230</v>
      </c>
      <c r="E28" s="11" t="s">
        <v>231</v>
      </c>
      <c r="F28" s="11" t="s">
        <v>232</v>
      </c>
      <c r="G28" s="11" t="s">
        <v>233</v>
      </c>
      <c r="H28" s="11" t="s">
        <v>234</v>
      </c>
      <c r="I28" s="11" t="s">
        <v>235</v>
      </c>
    </row>
    <row r="29" spans="1:26" x14ac:dyDescent="0.35">
      <c r="A29" s="11" t="str">
        <f t="shared" si="0"/>
        <v>Clements</v>
      </c>
      <c r="B29" s="11" t="s">
        <v>236</v>
      </c>
      <c r="C29" s="11" t="s">
        <v>237</v>
      </c>
      <c r="D29" s="11" t="s">
        <v>238</v>
      </c>
      <c r="E29" s="11" t="s">
        <v>239</v>
      </c>
      <c r="F29" s="11" t="s">
        <v>240</v>
      </c>
      <c r="G29" s="11" t="s">
        <v>241</v>
      </c>
      <c r="H29" s="11" t="s">
        <v>1505</v>
      </c>
    </row>
    <row r="30" spans="1:26" x14ac:dyDescent="0.35">
      <c r="A30" s="11" t="str">
        <f t="shared" si="0"/>
        <v>O'Brien</v>
      </c>
      <c r="B30" s="11" t="s">
        <v>242</v>
      </c>
      <c r="C30" s="11" t="s">
        <v>243</v>
      </c>
    </row>
    <row r="31" spans="1:26" x14ac:dyDescent="0.35">
      <c r="A31" s="11" t="str">
        <f t="shared" si="0"/>
        <v>Braun</v>
      </c>
      <c r="B31" s="11" t="s">
        <v>244</v>
      </c>
      <c r="C31" s="11" t="s">
        <v>245</v>
      </c>
      <c r="D31" s="11" t="s">
        <v>246</v>
      </c>
      <c r="E31" s="11" t="s">
        <v>247</v>
      </c>
      <c r="F31" s="11" t="s">
        <v>248</v>
      </c>
      <c r="G31" s="11" t="s">
        <v>249</v>
      </c>
      <c r="H31" s="11" t="s">
        <v>250</v>
      </c>
      <c r="I31" s="11" t="s">
        <v>251</v>
      </c>
    </row>
    <row r="32" spans="1:26" x14ac:dyDescent="0.35">
      <c r="A32" s="11" t="str">
        <f t="shared" si="0"/>
        <v>Enright</v>
      </c>
      <c r="B32" s="11" t="s">
        <v>252</v>
      </c>
      <c r="C32" s="11" t="s">
        <v>253</v>
      </c>
      <c r="D32" s="11" t="s">
        <v>254</v>
      </c>
    </row>
    <row r="33" spans="1:14" x14ac:dyDescent="0.35">
      <c r="A33" s="11" t="str">
        <f t="shared" si="0"/>
        <v>Burnett</v>
      </c>
      <c r="B33" s="11" t="s">
        <v>255</v>
      </c>
      <c r="C33" s="11" t="s">
        <v>256</v>
      </c>
      <c r="D33" s="11" t="s">
        <v>257</v>
      </c>
    </row>
    <row r="34" spans="1:14" x14ac:dyDescent="0.35">
      <c r="A34" s="11" t="str">
        <f t="shared" si="0"/>
        <v>Wyss</v>
      </c>
      <c r="B34" s="11" t="s">
        <v>258</v>
      </c>
      <c r="C34" s="11" t="s">
        <v>259</v>
      </c>
    </row>
    <row r="35" spans="1:14" x14ac:dyDescent="0.35">
      <c r="A35" s="11" t="str">
        <f t="shared" si="0"/>
        <v>Sewell</v>
      </c>
      <c r="B35" s="11" t="s">
        <v>260</v>
      </c>
      <c r="C35" s="11" t="s">
        <v>261</v>
      </c>
    </row>
    <row r="36" spans="1:14" x14ac:dyDescent="0.35">
      <c r="A36" s="11" t="str">
        <f t="shared" si="0"/>
        <v>Henry</v>
      </c>
      <c r="B36" s="11" t="s">
        <v>262</v>
      </c>
      <c r="C36" s="11" t="s">
        <v>263</v>
      </c>
      <c r="D36" s="11" t="s">
        <v>264</v>
      </c>
      <c r="E36" s="11" t="s">
        <v>265</v>
      </c>
      <c r="F36" s="11" t="s">
        <v>266</v>
      </c>
      <c r="G36" s="11" t="s">
        <v>267</v>
      </c>
      <c r="H36" s="11" t="s">
        <v>268</v>
      </c>
      <c r="I36" s="11" t="s">
        <v>269</v>
      </c>
      <c r="J36" s="11" t="s">
        <v>270</v>
      </c>
      <c r="K36" s="11" t="s">
        <v>271</v>
      </c>
      <c r="L36" s="11" t="s">
        <v>272</v>
      </c>
      <c r="M36" s="11" t="s">
        <v>273</v>
      </c>
    </row>
    <row r="37" spans="1:14" x14ac:dyDescent="0.35">
      <c r="A37" s="11" t="str">
        <f t="shared" si="0"/>
        <v>Dean</v>
      </c>
      <c r="B37" s="11" t="s">
        <v>274</v>
      </c>
      <c r="C37" s="11" t="s">
        <v>275</v>
      </c>
      <c r="D37" s="11" t="s">
        <v>276</v>
      </c>
    </row>
    <row r="38" spans="1:14" x14ac:dyDescent="0.35">
      <c r="A38" s="11" t="str">
        <f t="shared" si="0"/>
        <v>Paulsen</v>
      </c>
      <c r="B38" s="11" t="s">
        <v>277</v>
      </c>
      <c r="C38" s="11" t="s">
        <v>278</v>
      </c>
      <c r="D38" s="11" t="s">
        <v>279</v>
      </c>
      <c r="E38" s="11" t="s">
        <v>280</v>
      </c>
      <c r="F38" s="11" t="s">
        <v>281</v>
      </c>
      <c r="G38" s="11" t="s">
        <v>282</v>
      </c>
      <c r="H38" s="11" t="s">
        <v>283</v>
      </c>
      <c r="I38" s="11" t="s">
        <v>284</v>
      </c>
      <c r="J38" s="11" t="s">
        <v>285</v>
      </c>
      <c r="K38" s="11" t="s">
        <v>286</v>
      </c>
      <c r="L38" s="11" t="s">
        <v>287</v>
      </c>
      <c r="M38" s="11" t="s">
        <v>288</v>
      </c>
      <c r="N38" s="11" t="s">
        <v>1518</v>
      </c>
    </row>
    <row r="39" spans="1:14" x14ac:dyDescent="0.35">
      <c r="A39" s="11" t="str">
        <f t="shared" si="0"/>
        <v>Wilder</v>
      </c>
      <c r="B39" s="11" t="s">
        <v>289</v>
      </c>
      <c r="C39" s="11" t="s">
        <v>1517</v>
      </c>
      <c r="D39" s="11" t="s">
        <v>290</v>
      </c>
      <c r="E39" s="11" t="s">
        <v>291</v>
      </c>
      <c r="F39" s="11" t="s">
        <v>292</v>
      </c>
      <c r="G39" s="11" t="s">
        <v>293</v>
      </c>
      <c r="H39" s="11" t="s">
        <v>294</v>
      </c>
      <c r="I39" s="11" t="s">
        <v>295</v>
      </c>
      <c r="J39" s="11" t="s">
        <v>296</v>
      </c>
      <c r="K39" s="11" t="s">
        <v>297</v>
      </c>
      <c r="L39" s="11" t="s">
        <v>298</v>
      </c>
    </row>
    <row r="40" spans="1:14" x14ac:dyDescent="0.35">
      <c r="A40" s="11" t="str">
        <f t="shared" si="0"/>
        <v>Curtis</v>
      </c>
      <c r="B40" s="11" t="s">
        <v>299</v>
      </c>
      <c r="C40" s="11" t="s">
        <v>300</v>
      </c>
    </row>
    <row r="41" spans="1:14" x14ac:dyDescent="0.35">
      <c r="A41" s="11" t="str">
        <f t="shared" si="0"/>
        <v>Evslin</v>
      </c>
      <c r="B41" s="11" t="s">
        <v>301</v>
      </c>
      <c r="C41" s="11" t="s">
        <v>302</v>
      </c>
    </row>
    <row r="42" spans="1:14" x14ac:dyDescent="0.35">
      <c r="A42" s="11" t="str">
        <f t="shared" si="0"/>
        <v>McCloskey</v>
      </c>
      <c r="B42" s="11" t="s">
        <v>303</v>
      </c>
      <c r="C42" s="11" t="s">
        <v>304</v>
      </c>
      <c r="D42" s="11" t="s">
        <v>305</v>
      </c>
    </row>
    <row r="43" spans="1:14" x14ac:dyDescent="0.35">
      <c r="A43" s="11" t="str">
        <f t="shared" si="0"/>
        <v>Thomasma</v>
      </c>
      <c r="B43" s="11" t="s">
        <v>306</v>
      </c>
      <c r="C43" s="11" t="s">
        <v>307</v>
      </c>
      <c r="D43" s="11" t="s">
        <v>308</v>
      </c>
      <c r="E43" s="11" t="s">
        <v>309</v>
      </c>
    </row>
    <row r="44" spans="1:14" x14ac:dyDescent="0.35">
      <c r="A44" s="11" t="str">
        <f t="shared" si="0"/>
        <v>Hunter</v>
      </c>
      <c r="B44" s="11" t="s">
        <v>310</v>
      </c>
      <c r="C44" s="11" t="s">
        <v>311</v>
      </c>
    </row>
    <row r="45" spans="1:14" x14ac:dyDescent="0.35">
      <c r="A45" s="11" t="str">
        <f t="shared" si="0"/>
        <v>Bond</v>
      </c>
      <c r="B45" s="11" t="s">
        <v>312</v>
      </c>
      <c r="C45" s="11" t="s">
        <v>313</v>
      </c>
    </row>
    <row r="46" spans="1:14" x14ac:dyDescent="0.35">
      <c r="A46" s="11" t="str">
        <f t="shared" si="0"/>
        <v>Dahl</v>
      </c>
      <c r="B46" s="11" t="s">
        <v>314</v>
      </c>
      <c r="C46" s="11" t="s">
        <v>315</v>
      </c>
      <c r="D46" s="11" t="s">
        <v>316</v>
      </c>
      <c r="E46" s="11" t="s">
        <v>317</v>
      </c>
      <c r="F46" s="11" t="s">
        <v>318</v>
      </c>
      <c r="G46" s="11" t="s">
        <v>319</v>
      </c>
      <c r="H46" s="11" t="s">
        <v>320</v>
      </c>
      <c r="I46" s="11" t="s">
        <v>321</v>
      </c>
      <c r="J46" s="11" t="s">
        <v>322</v>
      </c>
      <c r="K46" s="11" t="s">
        <v>323</v>
      </c>
      <c r="L46" s="11" t="s">
        <v>324</v>
      </c>
      <c r="M46" s="11" t="s">
        <v>325</v>
      </c>
      <c r="N46" s="11" t="s">
        <v>326</v>
      </c>
    </row>
    <row r="47" spans="1:14" x14ac:dyDescent="0.35">
      <c r="A47" s="11" t="str">
        <f t="shared" si="0"/>
        <v>Yates</v>
      </c>
      <c r="B47" s="11" t="s">
        <v>327</v>
      </c>
      <c r="C47" s="11" t="s">
        <v>328</v>
      </c>
    </row>
    <row r="48" spans="1:14" x14ac:dyDescent="0.35">
      <c r="A48" s="11" t="str">
        <f t="shared" si="0"/>
        <v>Shelly</v>
      </c>
      <c r="B48" s="11" t="s">
        <v>329</v>
      </c>
      <c r="C48" s="11" t="s">
        <v>330</v>
      </c>
    </row>
    <row r="49" spans="1:49" x14ac:dyDescent="0.35">
      <c r="A49" s="11" t="str">
        <f t="shared" si="0"/>
        <v>Nimmo</v>
      </c>
      <c r="B49" s="11" t="s">
        <v>331</v>
      </c>
      <c r="C49" s="11" t="s">
        <v>332</v>
      </c>
      <c r="D49" s="11" t="s">
        <v>333</v>
      </c>
      <c r="E49" s="11" t="s">
        <v>334</v>
      </c>
      <c r="F49" s="11" t="s">
        <v>335</v>
      </c>
      <c r="G49" s="11" t="s">
        <v>336</v>
      </c>
      <c r="H49" s="11" t="s">
        <v>337</v>
      </c>
      <c r="I49" s="11" t="s">
        <v>338</v>
      </c>
    </row>
    <row r="50" spans="1:49" x14ac:dyDescent="0.35">
      <c r="A50" s="11" t="str">
        <f t="shared" si="0"/>
        <v>Buckley</v>
      </c>
      <c r="B50" s="11" t="s">
        <v>339</v>
      </c>
      <c r="C50" s="11" t="s">
        <v>340</v>
      </c>
      <c r="D50" s="11" t="s">
        <v>341</v>
      </c>
      <c r="E50" s="11" t="s">
        <v>342</v>
      </c>
      <c r="F50" s="11" t="s">
        <v>343</v>
      </c>
      <c r="G50" s="11" t="s">
        <v>344</v>
      </c>
      <c r="H50" s="11" t="s">
        <v>345</v>
      </c>
      <c r="I50" s="11" t="s">
        <v>346</v>
      </c>
      <c r="J50" s="11" t="s">
        <v>347</v>
      </c>
      <c r="K50" s="11" t="s">
        <v>348</v>
      </c>
    </row>
    <row r="51" spans="1:49" x14ac:dyDescent="0.35">
      <c r="A51" s="11" t="str">
        <f t="shared" si="0"/>
        <v>Cussler</v>
      </c>
      <c r="B51" s="11" t="s">
        <v>349</v>
      </c>
      <c r="C51" s="11" t="s">
        <v>350</v>
      </c>
      <c r="D51" s="11" t="s">
        <v>351</v>
      </c>
      <c r="E51" s="11" t="s">
        <v>352</v>
      </c>
      <c r="F51" s="11" t="s">
        <v>353</v>
      </c>
    </row>
    <row r="52" spans="1:49" x14ac:dyDescent="0.35">
      <c r="A52" s="11" t="str">
        <f t="shared" si="0"/>
        <v>Brooks</v>
      </c>
      <c r="B52" s="11" t="s">
        <v>354</v>
      </c>
      <c r="C52" s="11" t="s">
        <v>355</v>
      </c>
      <c r="D52" s="11" t="s">
        <v>356</v>
      </c>
      <c r="E52" s="11" t="s">
        <v>357</v>
      </c>
      <c r="F52" s="11" t="s">
        <v>358</v>
      </c>
      <c r="G52" s="11" t="s">
        <v>359</v>
      </c>
      <c r="H52" s="11" t="s">
        <v>360</v>
      </c>
      <c r="I52" s="11" t="s">
        <v>361</v>
      </c>
      <c r="J52" s="11" t="s">
        <v>362</v>
      </c>
      <c r="K52" s="11" t="s">
        <v>1615</v>
      </c>
    </row>
    <row r="53" spans="1:49" x14ac:dyDescent="0.35">
      <c r="A53" s="11" t="str">
        <f t="shared" si="0"/>
        <v>Cashore</v>
      </c>
      <c r="B53" s="11" t="s">
        <v>363</v>
      </c>
      <c r="C53" s="11" t="s">
        <v>364</v>
      </c>
      <c r="D53" s="11" t="s">
        <v>365</v>
      </c>
      <c r="E53" s="11" t="s">
        <v>366</v>
      </c>
    </row>
    <row r="54" spans="1:49" x14ac:dyDescent="0.35">
      <c r="A54" s="11" t="str">
        <f t="shared" si="0"/>
        <v>D'lacey</v>
      </c>
      <c r="B54" s="11" t="s">
        <v>367</v>
      </c>
      <c r="C54" s="11" t="s">
        <v>368</v>
      </c>
      <c r="D54" s="11" t="s">
        <v>369</v>
      </c>
      <c r="E54" s="11" t="s">
        <v>370</v>
      </c>
      <c r="F54" s="11" t="s">
        <v>371</v>
      </c>
      <c r="G54" s="11" t="s">
        <v>372</v>
      </c>
      <c r="H54" s="11" t="s">
        <v>373</v>
      </c>
      <c r="I54" s="11" t="s">
        <v>374</v>
      </c>
    </row>
    <row r="55" spans="1:49" x14ac:dyDescent="0.35">
      <c r="A55" s="11" t="str">
        <f t="shared" si="0"/>
        <v>Applegate</v>
      </c>
      <c r="B55" s="11" t="s">
        <v>375</v>
      </c>
      <c r="C55" s="11" t="s">
        <v>376</v>
      </c>
      <c r="D55" s="11" t="s">
        <v>377</v>
      </c>
      <c r="E55" s="11" t="s">
        <v>378</v>
      </c>
      <c r="F55" s="11" t="s">
        <v>379</v>
      </c>
      <c r="G55" s="11" t="s">
        <v>380</v>
      </c>
      <c r="H55" s="11" t="s">
        <v>381</v>
      </c>
      <c r="I55" s="11" t="s">
        <v>382</v>
      </c>
      <c r="J55" s="11" t="s">
        <v>383</v>
      </c>
      <c r="K55" s="11" t="s">
        <v>384</v>
      </c>
      <c r="L55" s="11" t="s">
        <v>385</v>
      </c>
      <c r="M55" s="11" t="s">
        <v>386</v>
      </c>
      <c r="N55" s="11" t="s">
        <v>387</v>
      </c>
      <c r="O55" s="11" t="s">
        <v>388</v>
      </c>
      <c r="P55" s="11" t="s">
        <v>389</v>
      </c>
      <c r="Q55" s="11" t="s">
        <v>390</v>
      </c>
      <c r="R55" s="11" t="s">
        <v>391</v>
      </c>
      <c r="S55" s="11" t="s">
        <v>392</v>
      </c>
      <c r="T55" s="11" t="s">
        <v>393</v>
      </c>
      <c r="U55" s="11" t="s">
        <v>394</v>
      </c>
      <c r="V55" s="11" t="s">
        <v>395</v>
      </c>
      <c r="W55" s="11" t="s">
        <v>396</v>
      </c>
      <c r="X55" s="11" t="s">
        <v>397</v>
      </c>
      <c r="Y55" s="11" t="s">
        <v>398</v>
      </c>
      <c r="Z55" s="11" t="s">
        <v>399</v>
      </c>
      <c r="AA55" s="11" t="s">
        <v>400</v>
      </c>
      <c r="AB55" s="11" t="s">
        <v>401</v>
      </c>
      <c r="AC55" s="11" t="s">
        <v>402</v>
      </c>
      <c r="AD55" s="11" t="s">
        <v>403</v>
      </c>
      <c r="AE55" s="11" t="s">
        <v>404</v>
      </c>
      <c r="AF55" s="11" t="s">
        <v>405</v>
      </c>
      <c r="AG55" s="11" t="s">
        <v>406</v>
      </c>
      <c r="AH55" s="11" t="s">
        <v>407</v>
      </c>
      <c r="AI55" s="11" t="s">
        <v>408</v>
      </c>
      <c r="AJ55" s="11" t="s">
        <v>409</v>
      </c>
      <c r="AK55" s="11" t="s">
        <v>410</v>
      </c>
      <c r="AL55" s="11" t="s">
        <v>411</v>
      </c>
      <c r="AM55" s="11" t="s">
        <v>412</v>
      </c>
      <c r="AN55" s="11" t="s">
        <v>413</v>
      </c>
      <c r="AO55" s="11" t="s">
        <v>414</v>
      </c>
      <c r="AP55" s="11" t="s">
        <v>415</v>
      </c>
      <c r="AQ55" s="11" t="s">
        <v>416</v>
      </c>
      <c r="AR55" s="11" t="s">
        <v>417</v>
      </c>
      <c r="AS55" s="11" t="s">
        <v>418</v>
      </c>
      <c r="AT55" s="11" t="s">
        <v>419</v>
      </c>
      <c r="AU55" s="11" t="s">
        <v>420</v>
      </c>
      <c r="AV55" s="11" t="s">
        <v>421</v>
      </c>
      <c r="AW55" s="11" t="s">
        <v>422</v>
      </c>
    </row>
    <row r="56" spans="1:49" x14ac:dyDescent="0.35">
      <c r="A56" s="11" t="str">
        <f t="shared" si="0"/>
        <v>Estes</v>
      </c>
      <c r="B56" s="11" t="s">
        <v>423</v>
      </c>
      <c r="C56" s="11" t="s">
        <v>424</v>
      </c>
      <c r="D56" s="11" t="s">
        <v>425</v>
      </c>
      <c r="E56" s="11" t="s">
        <v>426</v>
      </c>
      <c r="F56" s="11" t="s">
        <v>427</v>
      </c>
      <c r="G56" s="11" t="s">
        <v>428</v>
      </c>
    </row>
    <row r="57" spans="1:49" x14ac:dyDescent="0.35">
      <c r="A57" s="11" t="str">
        <f t="shared" si="0"/>
        <v>Twain</v>
      </c>
      <c r="B57" s="11" t="s">
        <v>429</v>
      </c>
      <c r="C57" s="11" t="s">
        <v>430</v>
      </c>
      <c r="D57" s="11" t="s">
        <v>431</v>
      </c>
      <c r="E57" s="11" t="s">
        <v>432</v>
      </c>
    </row>
    <row r="58" spans="1:49" x14ac:dyDescent="0.35">
      <c r="A58" s="11" t="str">
        <f t="shared" si="0"/>
        <v>Grahame</v>
      </c>
      <c r="B58" s="11" t="s">
        <v>433</v>
      </c>
      <c r="C58" s="11" t="s">
        <v>434</v>
      </c>
      <c r="D58" s="11" t="s">
        <v>435</v>
      </c>
    </row>
    <row r="59" spans="1:49" x14ac:dyDescent="0.35">
      <c r="A59" s="11" t="str">
        <f t="shared" si="0"/>
        <v>Eckert</v>
      </c>
      <c r="B59" s="11" t="s">
        <v>1480</v>
      </c>
      <c r="C59" s="11" t="s">
        <v>1481</v>
      </c>
    </row>
    <row r="60" spans="1:49" x14ac:dyDescent="0.35">
      <c r="A60" s="11" t="str">
        <f t="shared" si="0"/>
        <v>Kelly</v>
      </c>
      <c r="B60" s="11" t="s">
        <v>436</v>
      </c>
      <c r="C60" s="11" t="s">
        <v>437</v>
      </c>
    </row>
    <row r="61" spans="1:49" x14ac:dyDescent="0.35">
      <c r="A61" s="11" t="str">
        <f t="shared" si="0"/>
        <v>Andrews</v>
      </c>
      <c r="B61" s="11" t="s">
        <v>438</v>
      </c>
      <c r="C61" s="11" t="s">
        <v>439</v>
      </c>
    </row>
    <row r="62" spans="1:49" x14ac:dyDescent="0.35">
      <c r="A62" s="11" t="str">
        <f t="shared" si="0"/>
        <v>Paterson</v>
      </c>
      <c r="B62" s="11" t="s">
        <v>440</v>
      </c>
      <c r="C62" s="11" t="s">
        <v>441</v>
      </c>
    </row>
    <row r="63" spans="1:49" x14ac:dyDescent="0.35">
      <c r="A63" s="11" t="str">
        <f t="shared" si="0"/>
        <v>Bell</v>
      </c>
      <c r="B63" s="11" t="s">
        <v>442</v>
      </c>
      <c r="C63" s="11" t="s">
        <v>443</v>
      </c>
      <c r="D63" s="11" t="s">
        <v>444</v>
      </c>
    </row>
    <row r="64" spans="1:49" x14ac:dyDescent="0.35">
      <c r="A64" s="11" t="str">
        <f t="shared" si="0"/>
        <v>Banks</v>
      </c>
      <c r="B64" s="11" t="s">
        <v>445</v>
      </c>
      <c r="C64" s="11" t="s">
        <v>446</v>
      </c>
      <c r="D64" s="11" t="s">
        <v>447</v>
      </c>
      <c r="E64" s="11" t="s">
        <v>448</v>
      </c>
      <c r="F64" s="11" t="s">
        <v>449</v>
      </c>
      <c r="G64" s="11" t="s">
        <v>450</v>
      </c>
    </row>
    <row r="65" spans="1:16" x14ac:dyDescent="0.35">
      <c r="A65" s="11" t="str">
        <f t="shared" ref="A65:A128" si="1">TRIM(RIGHT(SUBSTITUTE(B65," ",REPT(" ",LEN(B65))),LEN(B65)))</f>
        <v>Lippert</v>
      </c>
      <c r="B65" s="11" t="s">
        <v>451</v>
      </c>
      <c r="C65" s="11" t="s">
        <v>452</v>
      </c>
      <c r="D65" s="11" t="s">
        <v>453</v>
      </c>
      <c r="E65" s="11" t="s">
        <v>454</v>
      </c>
    </row>
    <row r="66" spans="1:16" x14ac:dyDescent="0.35">
      <c r="A66" s="11" t="str">
        <f t="shared" si="1"/>
        <v>Saaz</v>
      </c>
      <c r="B66" s="11" t="s">
        <v>455</v>
      </c>
      <c r="C66" s="11" t="s">
        <v>456</v>
      </c>
    </row>
    <row r="67" spans="1:16" x14ac:dyDescent="0.35">
      <c r="A67" s="11" t="str">
        <f t="shared" si="1"/>
        <v>Aue</v>
      </c>
      <c r="B67" s="11" t="s">
        <v>457</v>
      </c>
      <c r="C67" s="11" t="s">
        <v>458</v>
      </c>
    </row>
    <row r="68" spans="1:16" x14ac:dyDescent="0.35">
      <c r="A68" s="11" t="str">
        <f t="shared" si="1"/>
        <v>Dickens</v>
      </c>
      <c r="B68" s="11" t="s">
        <v>459</v>
      </c>
      <c r="C68" s="11" t="s">
        <v>460</v>
      </c>
      <c r="D68" s="11" t="s">
        <v>461</v>
      </c>
      <c r="E68" s="11" t="s">
        <v>462</v>
      </c>
      <c r="F68" s="11" t="s">
        <v>463</v>
      </c>
    </row>
    <row r="69" spans="1:16" x14ac:dyDescent="0.35">
      <c r="A69" s="11" t="str">
        <f t="shared" si="1"/>
        <v>Connell</v>
      </c>
      <c r="B69" s="11" t="s">
        <v>464</v>
      </c>
      <c r="C69" s="11" t="s">
        <v>465</v>
      </c>
    </row>
    <row r="70" spans="1:16" x14ac:dyDescent="0.35">
      <c r="A70" s="11" t="str">
        <f t="shared" si="1"/>
        <v>Jeffress</v>
      </c>
      <c r="B70" s="11" t="s">
        <v>466</v>
      </c>
      <c r="C70" s="11" t="s">
        <v>467</v>
      </c>
    </row>
    <row r="71" spans="1:16" x14ac:dyDescent="0.35">
      <c r="A71" s="11" t="str">
        <f t="shared" si="1"/>
        <v>Gooley</v>
      </c>
      <c r="B71" s="11" t="s">
        <v>468</v>
      </c>
      <c r="C71" s="11" t="s">
        <v>469</v>
      </c>
    </row>
    <row r="72" spans="1:16" x14ac:dyDescent="0.35">
      <c r="A72" s="11" t="str">
        <f t="shared" si="1"/>
        <v>Fleischman</v>
      </c>
      <c r="B72" s="11" t="s">
        <v>470</v>
      </c>
      <c r="C72" s="11" t="s">
        <v>471</v>
      </c>
    </row>
    <row r="73" spans="1:16" x14ac:dyDescent="0.35">
      <c r="A73" s="11" t="str">
        <f t="shared" si="1"/>
        <v>Brooks</v>
      </c>
      <c r="B73" s="11" t="s">
        <v>472</v>
      </c>
      <c r="C73" s="11" t="s">
        <v>473</v>
      </c>
    </row>
    <row r="74" spans="1:16" x14ac:dyDescent="0.35">
      <c r="A74" s="11" t="str">
        <f t="shared" si="1"/>
        <v>Price</v>
      </c>
      <c r="B74" s="11" t="s">
        <v>474</v>
      </c>
      <c r="C74" s="11" t="s">
        <v>475</v>
      </c>
      <c r="D74" s="11" t="s">
        <v>476</v>
      </c>
    </row>
    <row r="75" spans="1:16" x14ac:dyDescent="0.35">
      <c r="A75" s="11" t="str">
        <f t="shared" si="1"/>
        <v>Farmer</v>
      </c>
      <c r="B75" s="11" t="s">
        <v>477</v>
      </c>
      <c r="C75" s="11" t="s">
        <v>478</v>
      </c>
      <c r="D75" s="11" t="s">
        <v>479</v>
      </c>
      <c r="E75" s="11" t="s">
        <v>480</v>
      </c>
      <c r="F75" s="11" t="s">
        <v>481</v>
      </c>
      <c r="G75" s="11" t="s">
        <v>482</v>
      </c>
    </row>
    <row r="76" spans="1:16" x14ac:dyDescent="0.35">
      <c r="A76" s="11" t="str">
        <f t="shared" si="1"/>
        <v>Baum</v>
      </c>
      <c r="B76" s="11" t="s">
        <v>483</v>
      </c>
      <c r="C76" s="11" t="s">
        <v>484</v>
      </c>
      <c r="D76" s="11" t="s">
        <v>485</v>
      </c>
      <c r="E76" s="11" t="s">
        <v>486</v>
      </c>
      <c r="F76" s="11" t="s">
        <v>487</v>
      </c>
      <c r="G76" s="11" t="s">
        <v>488</v>
      </c>
      <c r="H76" s="11" t="s">
        <v>489</v>
      </c>
      <c r="I76" s="11" t="s">
        <v>490</v>
      </c>
      <c r="J76" s="11" t="s">
        <v>491</v>
      </c>
      <c r="K76" s="11" t="s">
        <v>492</v>
      </c>
      <c r="L76" s="11" t="s">
        <v>493</v>
      </c>
      <c r="M76" s="11" t="s">
        <v>494</v>
      </c>
      <c r="N76" s="11" t="s">
        <v>495</v>
      </c>
      <c r="O76" s="11" t="s">
        <v>496</v>
      </c>
      <c r="P76" s="11" t="s">
        <v>497</v>
      </c>
    </row>
    <row r="77" spans="1:16" x14ac:dyDescent="0.35">
      <c r="A77" s="11" t="str">
        <f t="shared" si="1"/>
        <v>Wells</v>
      </c>
      <c r="B77" s="11" t="s">
        <v>498</v>
      </c>
      <c r="C77" s="11" t="s">
        <v>499</v>
      </c>
      <c r="D77" s="11" t="s">
        <v>1546</v>
      </c>
    </row>
    <row r="78" spans="1:16" x14ac:dyDescent="0.35">
      <c r="A78" s="11" t="str">
        <f t="shared" si="1"/>
        <v>Christopher</v>
      </c>
      <c r="B78" s="11" t="s">
        <v>500</v>
      </c>
      <c r="C78" s="11" t="s">
        <v>501</v>
      </c>
      <c r="D78" s="11" t="s">
        <v>502</v>
      </c>
      <c r="E78" s="11" t="s">
        <v>503</v>
      </c>
      <c r="F78" s="11" t="s">
        <v>504</v>
      </c>
    </row>
    <row r="79" spans="1:16" x14ac:dyDescent="0.35">
      <c r="A79" s="11" t="str">
        <f t="shared" si="1"/>
        <v>Morris</v>
      </c>
      <c r="B79" s="11" t="s">
        <v>505</v>
      </c>
      <c r="C79" s="11" t="s">
        <v>506</v>
      </c>
      <c r="D79" s="11" t="s">
        <v>507</v>
      </c>
      <c r="E79" s="11" t="s">
        <v>508</v>
      </c>
      <c r="F79" s="11" t="s">
        <v>509</v>
      </c>
      <c r="G79" s="11" t="s">
        <v>510</v>
      </c>
      <c r="H79" s="11" t="s">
        <v>511</v>
      </c>
      <c r="I79" s="11" t="s">
        <v>512</v>
      </c>
      <c r="J79" s="11" t="s">
        <v>513</v>
      </c>
      <c r="K79" s="11" t="s">
        <v>514</v>
      </c>
      <c r="L79" s="11" t="s">
        <v>515</v>
      </c>
    </row>
    <row r="80" spans="1:16" x14ac:dyDescent="0.35">
      <c r="A80" s="11" t="str">
        <f t="shared" si="1"/>
        <v>Pullman</v>
      </c>
      <c r="B80" s="11" t="s">
        <v>516</v>
      </c>
      <c r="C80" s="11" t="s">
        <v>517</v>
      </c>
      <c r="D80" s="11" t="s">
        <v>518</v>
      </c>
      <c r="E80" s="11" t="s">
        <v>519</v>
      </c>
    </row>
    <row r="81" spans="1:15" x14ac:dyDescent="0.35">
      <c r="A81" s="11" t="str">
        <f t="shared" si="1"/>
        <v>Duane</v>
      </c>
      <c r="B81" s="11" t="s">
        <v>520</v>
      </c>
      <c r="C81" s="11" t="s">
        <v>521</v>
      </c>
      <c r="D81" s="11" t="s">
        <v>522</v>
      </c>
    </row>
    <row r="82" spans="1:15" x14ac:dyDescent="0.35">
      <c r="A82" s="11" t="str">
        <f t="shared" si="1"/>
        <v>Rawls</v>
      </c>
      <c r="B82" s="11" t="s">
        <v>523</v>
      </c>
      <c r="C82" s="11" t="s">
        <v>524</v>
      </c>
    </row>
    <row r="83" spans="1:15" x14ac:dyDescent="0.35">
      <c r="A83" s="11" t="str">
        <f t="shared" si="1"/>
        <v>Lamour</v>
      </c>
      <c r="B83" s="11" t="s">
        <v>525</v>
      </c>
      <c r="C83" s="11" t="s">
        <v>526</v>
      </c>
      <c r="D83" s="11" t="s">
        <v>527</v>
      </c>
    </row>
    <row r="84" spans="1:15" x14ac:dyDescent="0.35">
      <c r="A84" s="11" t="str">
        <f t="shared" si="1"/>
        <v>Dixon</v>
      </c>
      <c r="B84" s="11" t="s">
        <v>528</v>
      </c>
      <c r="C84" s="11" t="s">
        <v>529</v>
      </c>
      <c r="D84" s="11" t="s">
        <v>530</v>
      </c>
      <c r="E84" s="11" t="s">
        <v>1686</v>
      </c>
      <c r="F84" s="12" t="s">
        <v>1696</v>
      </c>
    </row>
    <row r="85" spans="1:15" x14ac:dyDescent="0.35">
      <c r="A85" s="11" t="str">
        <f t="shared" si="1"/>
        <v>Vanderpool</v>
      </c>
      <c r="B85" s="11" t="s">
        <v>531</v>
      </c>
      <c r="C85" s="11" t="s">
        <v>532</v>
      </c>
    </row>
    <row r="86" spans="1:15" x14ac:dyDescent="0.35">
      <c r="A86" s="11" t="str">
        <f t="shared" si="1"/>
        <v>Porter</v>
      </c>
      <c r="B86" s="11" t="s">
        <v>533</v>
      </c>
      <c r="C86" s="11" t="s">
        <v>534</v>
      </c>
    </row>
    <row r="87" spans="1:15" x14ac:dyDescent="0.35">
      <c r="A87" s="11" t="str">
        <f t="shared" si="1"/>
        <v>Mull</v>
      </c>
      <c r="B87" s="11" t="s">
        <v>535</v>
      </c>
      <c r="C87" s="11" t="s">
        <v>536</v>
      </c>
      <c r="D87" s="11" t="s">
        <v>537</v>
      </c>
      <c r="E87" s="11" t="s">
        <v>538</v>
      </c>
      <c r="F87" s="11" t="s">
        <v>539</v>
      </c>
      <c r="G87" s="11" t="s">
        <v>540</v>
      </c>
      <c r="H87" s="11" t="s">
        <v>541</v>
      </c>
      <c r="I87" s="11" t="s">
        <v>542</v>
      </c>
      <c r="J87" s="11" t="s">
        <v>543</v>
      </c>
    </row>
    <row r="88" spans="1:15" x14ac:dyDescent="0.35">
      <c r="A88" s="11" t="str">
        <f t="shared" si="1"/>
        <v>Zevin</v>
      </c>
      <c r="B88" s="11" t="s">
        <v>544</v>
      </c>
      <c r="C88" s="11" t="s">
        <v>545</v>
      </c>
    </row>
    <row r="89" spans="1:15" x14ac:dyDescent="0.35">
      <c r="A89" s="11" t="str">
        <f t="shared" si="1"/>
        <v>Shusterman</v>
      </c>
      <c r="B89" s="11" t="s">
        <v>546</v>
      </c>
      <c r="C89" s="11" t="s">
        <v>547</v>
      </c>
      <c r="D89" s="11" t="s">
        <v>548</v>
      </c>
      <c r="E89" s="11" t="s">
        <v>549</v>
      </c>
      <c r="F89" s="11" t="s">
        <v>550</v>
      </c>
      <c r="G89" s="11" t="s">
        <v>551</v>
      </c>
    </row>
    <row r="90" spans="1:15" x14ac:dyDescent="0.35">
      <c r="A90" s="11" t="str">
        <f t="shared" si="1"/>
        <v>Higson</v>
      </c>
      <c r="B90" s="11" t="s">
        <v>552</v>
      </c>
      <c r="C90" s="11" t="s">
        <v>553</v>
      </c>
      <c r="D90" s="11" t="s">
        <v>554</v>
      </c>
      <c r="E90" s="11" t="s">
        <v>555</v>
      </c>
      <c r="F90" s="11" t="s">
        <v>556</v>
      </c>
      <c r="G90" s="11" t="s">
        <v>557</v>
      </c>
    </row>
    <row r="91" spans="1:15" x14ac:dyDescent="0.35">
      <c r="A91" s="11" t="str">
        <f t="shared" si="1"/>
        <v>Snicket</v>
      </c>
      <c r="B91" s="11" t="s">
        <v>558</v>
      </c>
      <c r="C91" s="11" t="s">
        <v>559</v>
      </c>
      <c r="D91" s="11" t="s">
        <v>560</v>
      </c>
      <c r="E91" s="11" t="s">
        <v>561</v>
      </c>
      <c r="F91" s="11" t="s">
        <v>562</v>
      </c>
      <c r="G91" s="11" t="s">
        <v>563</v>
      </c>
      <c r="H91" s="11" t="s">
        <v>564</v>
      </c>
      <c r="I91" s="11" t="s">
        <v>565</v>
      </c>
      <c r="J91" s="11" t="s">
        <v>566</v>
      </c>
      <c r="K91" s="11" t="s">
        <v>567</v>
      </c>
      <c r="L91" s="11" t="s">
        <v>568</v>
      </c>
      <c r="M91" s="11" t="s">
        <v>569</v>
      </c>
      <c r="N91" s="11" t="s">
        <v>570</v>
      </c>
      <c r="O91" s="11" t="s">
        <v>571</v>
      </c>
    </row>
    <row r="92" spans="1:15" x14ac:dyDescent="0.35">
      <c r="A92" s="11" t="str">
        <f t="shared" si="1"/>
        <v>Bosch</v>
      </c>
      <c r="B92" s="11" t="s">
        <v>572</v>
      </c>
      <c r="C92" s="11" t="s">
        <v>573</v>
      </c>
      <c r="D92" s="11" t="s">
        <v>574</v>
      </c>
      <c r="E92" s="11" t="s">
        <v>575</v>
      </c>
      <c r="F92" s="11" t="s">
        <v>576</v>
      </c>
    </row>
    <row r="93" spans="1:15" x14ac:dyDescent="0.35">
      <c r="A93" s="11" t="str">
        <f t="shared" si="1"/>
        <v>Chrichton</v>
      </c>
      <c r="B93" s="11" t="s">
        <v>577</v>
      </c>
      <c r="C93" s="11" t="s">
        <v>578</v>
      </c>
    </row>
    <row r="94" spans="1:15" x14ac:dyDescent="0.35">
      <c r="A94" s="11" t="str">
        <f t="shared" si="1"/>
        <v>Klein</v>
      </c>
      <c r="B94" s="11" t="s">
        <v>579</v>
      </c>
      <c r="C94" s="11" t="s">
        <v>580</v>
      </c>
    </row>
    <row r="95" spans="1:15" x14ac:dyDescent="0.35">
      <c r="A95" s="11" t="str">
        <f t="shared" si="1"/>
        <v>Coates</v>
      </c>
      <c r="B95" s="11" t="s">
        <v>581</v>
      </c>
      <c r="C95" s="11" t="s">
        <v>582</v>
      </c>
      <c r="D95" s="11" t="s">
        <v>1494</v>
      </c>
    </row>
    <row r="96" spans="1:15" x14ac:dyDescent="0.35">
      <c r="A96" s="11" t="str">
        <f t="shared" si="1"/>
        <v>Yousef</v>
      </c>
      <c r="B96" s="11" t="s">
        <v>583</v>
      </c>
      <c r="C96" s="11" t="s">
        <v>584</v>
      </c>
    </row>
    <row r="97" spans="1:21" x14ac:dyDescent="0.35">
      <c r="A97" s="11" t="str">
        <f t="shared" si="1"/>
        <v>Hinton</v>
      </c>
      <c r="B97" s="11" t="s">
        <v>585</v>
      </c>
      <c r="C97" s="11" t="s">
        <v>586</v>
      </c>
      <c r="D97" s="11" t="s">
        <v>587</v>
      </c>
      <c r="E97" s="11" t="s">
        <v>588</v>
      </c>
    </row>
    <row r="98" spans="1:21" x14ac:dyDescent="0.35">
      <c r="A98" s="11" t="str">
        <f t="shared" si="1"/>
        <v>Sachar</v>
      </c>
      <c r="B98" s="11" t="s">
        <v>589</v>
      </c>
      <c r="C98" s="11" t="s">
        <v>590</v>
      </c>
      <c r="D98" s="11" t="s">
        <v>591</v>
      </c>
      <c r="E98" s="11" t="s">
        <v>592</v>
      </c>
    </row>
    <row r="99" spans="1:21" x14ac:dyDescent="0.35">
      <c r="A99" s="11" t="str">
        <f t="shared" si="1"/>
        <v>Cleary</v>
      </c>
      <c r="B99" s="11" t="s">
        <v>593</v>
      </c>
      <c r="C99" s="11" t="s">
        <v>594</v>
      </c>
      <c r="D99" s="11" t="s">
        <v>595</v>
      </c>
      <c r="E99" s="11" t="s">
        <v>596</v>
      </c>
      <c r="F99" s="11" t="s">
        <v>597</v>
      </c>
      <c r="G99" s="11" t="s">
        <v>598</v>
      </c>
      <c r="H99" s="11" t="s">
        <v>599</v>
      </c>
      <c r="I99" s="11" t="s">
        <v>600</v>
      </c>
      <c r="J99" s="11" t="s">
        <v>601</v>
      </c>
      <c r="K99" s="11" t="s">
        <v>602</v>
      </c>
      <c r="L99" s="11" t="s">
        <v>603</v>
      </c>
      <c r="M99" s="11" t="s">
        <v>604</v>
      </c>
    </row>
    <row r="100" spans="1:21" x14ac:dyDescent="0.35">
      <c r="A100" s="11" t="str">
        <f t="shared" si="1"/>
        <v>Andersen</v>
      </c>
      <c r="B100" s="11" t="s">
        <v>605</v>
      </c>
      <c r="C100" s="11" t="s">
        <v>606</v>
      </c>
    </row>
    <row r="101" spans="1:21" x14ac:dyDescent="0.35">
      <c r="A101" s="11" t="str">
        <f t="shared" si="1"/>
        <v>Selden</v>
      </c>
      <c r="B101" s="11" t="s">
        <v>607</v>
      </c>
      <c r="C101" s="11" t="s">
        <v>608</v>
      </c>
      <c r="D101" s="11" t="s">
        <v>609</v>
      </c>
    </row>
    <row r="102" spans="1:21" x14ac:dyDescent="0.35">
      <c r="A102" s="11" t="str">
        <f t="shared" si="1"/>
        <v>Bartoletti</v>
      </c>
      <c r="B102" s="11" t="s">
        <v>610</v>
      </c>
      <c r="C102" s="11" t="s">
        <v>611</v>
      </c>
      <c r="D102" s="11" t="s">
        <v>612</v>
      </c>
    </row>
    <row r="103" spans="1:21" x14ac:dyDescent="0.35">
      <c r="A103" s="11" t="str">
        <f t="shared" si="1"/>
        <v>Bach</v>
      </c>
      <c r="B103" s="11" t="s">
        <v>613</v>
      </c>
      <c r="C103" s="11" t="s">
        <v>614</v>
      </c>
    </row>
    <row r="104" spans="1:21" x14ac:dyDescent="0.35">
      <c r="A104" s="11" t="str">
        <f t="shared" si="1"/>
        <v>Chauser</v>
      </c>
      <c r="B104" s="11" t="s">
        <v>615</v>
      </c>
      <c r="C104" s="11" t="s">
        <v>616</v>
      </c>
    </row>
    <row r="105" spans="1:21" x14ac:dyDescent="0.35">
      <c r="A105" s="11" t="str">
        <f t="shared" si="1"/>
        <v>Petty</v>
      </c>
      <c r="B105" s="11" t="s">
        <v>617</v>
      </c>
      <c r="C105" s="11" t="s">
        <v>618</v>
      </c>
    </row>
    <row r="106" spans="1:21" x14ac:dyDescent="0.35">
      <c r="A106" s="11" t="str">
        <f t="shared" si="1"/>
        <v>Little</v>
      </c>
      <c r="B106" s="11" t="s">
        <v>619</v>
      </c>
      <c r="C106" s="11" t="s">
        <v>620</v>
      </c>
    </row>
    <row r="107" spans="1:21" x14ac:dyDescent="0.35">
      <c r="A107" s="11" t="str">
        <f t="shared" si="1"/>
        <v>Ivring</v>
      </c>
      <c r="B107" s="11" t="s">
        <v>1662</v>
      </c>
      <c r="C107" s="11" t="s">
        <v>622</v>
      </c>
    </row>
    <row r="108" spans="1:21" x14ac:dyDescent="0.35">
      <c r="A108" s="11" t="str">
        <f t="shared" si="1"/>
        <v>Ibbotson</v>
      </c>
      <c r="B108" s="11" t="s">
        <v>623</v>
      </c>
      <c r="C108" s="11" t="s">
        <v>624</v>
      </c>
      <c r="D108" s="11" t="s">
        <v>625</v>
      </c>
      <c r="E108" s="11" t="s">
        <v>626</v>
      </c>
      <c r="F108" s="11" t="s">
        <v>1475</v>
      </c>
    </row>
    <row r="109" spans="1:21" x14ac:dyDescent="0.35">
      <c r="A109" s="11" t="str">
        <f>TRIM(RIGHT(SUBSTITUTE(B109," ",REPT(" ",LEN(B109))),LEN(B109)))</f>
        <v/>
      </c>
      <c r="B109" s="11" t="s">
        <v>627</v>
      </c>
      <c r="C109" s="11" t="s">
        <v>628</v>
      </c>
      <c r="D109" s="11" t="s">
        <v>381</v>
      </c>
      <c r="E109" s="11" t="s">
        <v>629</v>
      </c>
      <c r="F109" s="11" t="s">
        <v>630</v>
      </c>
      <c r="G109" s="11" t="s">
        <v>631</v>
      </c>
      <c r="H109" s="11" t="s">
        <v>632</v>
      </c>
      <c r="I109" s="11" t="s">
        <v>633</v>
      </c>
      <c r="J109" s="11" t="s">
        <v>634</v>
      </c>
      <c r="K109" s="11" t="s">
        <v>635</v>
      </c>
      <c r="L109" s="11" t="s">
        <v>636</v>
      </c>
      <c r="M109" s="11" t="s">
        <v>637</v>
      </c>
      <c r="N109" s="11" t="s">
        <v>638</v>
      </c>
      <c r="O109" s="11" t="s">
        <v>639</v>
      </c>
      <c r="P109" s="11" t="s">
        <v>640</v>
      </c>
      <c r="Q109" s="11" t="s">
        <v>641</v>
      </c>
      <c r="R109" s="11" t="s">
        <v>642</v>
      </c>
      <c r="S109" s="11" t="s">
        <v>643</v>
      </c>
      <c r="T109" s="11" t="s">
        <v>644</v>
      </c>
      <c r="U109" s="11" t="s">
        <v>645</v>
      </c>
    </row>
    <row r="110" spans="1:21" x14ac:dyDescent="0.35">
      <c r="A110" s="11" t="str">
        <f t="shared" si="1"/>
        <v>Lowenstein</v>
      </c>
      <c r="B110" s="11" t="s">
        <v>646</v>
      </c>
      <c r="C110" s="11" t="s">
        <v>647</v>
      </c>
    </row>
    <row r="111" spans="1:21" x14ac:dyDescent="0.35">
      <c r="A111" s="11" t="str">
        <f t="shared" si="1"/>
        <v>Adams</v>
      </c>
      <c r="B111" s="11" t="s">
        <v>648</v>
      </c>
      <c r="C111" s="11" t="s">
        <v>649</v>
      </c>
    </row>
    <row r="112" spans="1:21" x14ac:dyDescent="0.35">
      <c r="A112" s="11" t="str">
        <f t="shared" si="1"/>
        <v>Trapp</v>
      </c>
      <c r="B112" s="11" t="s">
        <v>650</v>
      </c>
      <c r="C112" s="11" t="s">
        <v>651</v>
      </c>
    </row>
    <row r="113" spans="1:18" ht="14.5" customHeight="1" x14ac:dyDescent="0.35">
      <c r="A113" s="11" t="str">
        <f t="shared" si="1"/>
        <v>Carman</v>
      </c>
      <c r="B113" s="11" t="s">
        <v>652</v>
      </c>
      <c r="C113" s="11" t="s">
        <v>653</v>
      </c>
      <c r="D113" s="11" t="s">
        <v>654</v>
      </c>
      <c r="E113" s="11" t="s">
        <v>655</v>
      </c>
      <c r="F113" s="11" t="s">
        <v>656</v>
      </c>
      <c r="G113" s="11" t="s">
        <v>657</v>
      </c>
      <c r="H113" s="11" t="s">
        <v>658</v>
      </c>
      <c r="I113" s="11" t="s">
        <v>659</v>
      </c>
      <c r="J113" s="11" t="s">
        <v>660</v>
      </c>
    </row>
    <row r="114" spans="1:18" ht="14.5" customHeight="1" x14ac:dyDescent="0.35">
      <c r="A114" s="11" t="str">
        <f t="shared" si="1"/>
        <v>Flanagan</v>
      </c>
      <c r="B114" s="11" t="s">
        <v>661</v>
      </c>
      <c r="C114" s="11" t="s">
        <v>662</v>
      </c>
      <c r="D114" s="11" t="s">
        <v>663</v>
      </c>
      <c r="E114" s="11" t="s">
        <v>664</v>
      </c>
      <c r="F114" s="11" t="s">
        <v>665</v>
      </c>
      <c r="G114" s="11" t="s">
        <v>666</v>
      </c>
      <c r="H114" s="11" t="s">
        <v>667</v>
      </c>
      <c r="I114" s="11" t="s">
        <v>668</v>
      </c>
      <c r="J114" s="11" t="s">
        <v>669</v>
      </c>
      <c r="K114" s="11" t="s">
        <v>670</v>
      </c>
      <c r="L114" s="11" t="s">
        <v>671</v>
      </c>
      <c r="M114" s="11" t="s">
        <v>672</v>
      </c>
      <c r="N114" s="11" t="s">
        <v>673</v>
      </c>
      <c r="O114" s="11" t="s">
        <v>674</v>
      </c>
      <c r="P114" s="11" t="s">
        <v>675</v>
      </c>
      <c r="Q114" s="11" t="s">
        <v>676</v>
      </c>
      <c r="R114" s="11" t="s">
        <v>677</v>
      </c>
    </row>
    <row r="115" spans="1:18" ht="14.5" customHeight="1" x14ac:dyDescent="0.35">
      <c r="A115" s="11" t="str">
        <f t="shared" si="1"/>
        <v>Colfer</v>
      </c>
      <c r="B115" s="11" t="s">
        <v>678</v>
      </c>
      <c r="C115" s="11" t="s">
        <v>679</v>
      </c>
      <c r="D115" s="11" t="s">
        <v>680</v>
      </c>
      <c r="E115" s="11" t="s">
        <v>681</v>
      </c>
      <c r="F115" s="11" t="s">
        <v>682</v>
      </c>
      <c r="G115" s="11" t="s">
        <v>683</v>
      </c>
      <c r="H115" s="11" t="s">
        <v>684</v>
      </c>
      <c r="I115" s="11" t="s">
        <v>685</v>
      </c>
      <c r="J115" s="11" t="s">
        <v>686</v>
      </c>
      <c r="K115" s="11" t="s">
        <v>687</v>
      </c>
    </row>
    <row r="116" spans="1:18" ht="14.5" customHeight="1" x14ac:dyDescent="0.35">
      <c r="A116" s="11" t="str">
        <f t="shared" si="1"/>
        <v>Fisher</v>
      </c>
      <c r="B116" s="11" t="s">
        <v>688</v>
      </c>
      <c r="C116" s="11" t="s">
        <v>689</v>
      </c>
      <c r="D116" s="11" t="s">
        <v>690</v>
      </c>
      <c r="E116" s="11" t="s">
        <v>691</v>
      </c>
    </row>
    <row r="117" spans="1:18" ht="14.5" customHeight="1" x14ac:dyDescent="0.35">
      <c r="A117" s="11" t="str">
        <f t="shared" si="1"/>
        <v>Kay</v>
      </c>
      <c r="B117" s="11" t="s">
        <v>692</v>
      </c>
      <c r="C117" s="11" t="s">
        <v>693</v>
      </c>
      <c r="D117" s="11" t="s">
        <v>694</v>
      </c>
      <c r="E117" s="11" t="s">
        <v>695</v>
      </c>
    </row>
    <row r="118" spans="1:18" ht="15" customHeight="1" x14ac:dyDescent="0.35">
      <c r="A118" s="11" t="str">
        <f t="shared" si="1"/>
        <v>Wilkinson</v>
      </c>
      <c r="B118" s="11" t="s">
        <v>696</v>
      </c>
      <c r="C118" s="11" t="s">
        <v>697</v>
      </c>
    </row>
    <row r="119" spans="1:18" x14ac:dyDescent="0.35">
      <c r="A119" s="11" t="str">
        <f t="shared" si="1"/>
        <v>Westerfeld</v>
      </c>
      <c r="B119" s="11" t="s">
        <v>698</v>
      </c>
      <c r="C119" s="11" t="s">
        <v>699</v>
      </c>
      <c r="D119" s="11" t="s">
        <v>700</v>
      </c>
      <c r="E119" s="11" t="s">
        <v>701</v>
      </c>
    </row>
    <row r="120" spans="1:18" x14ac:dyDescent="0.35">
      <c r="A120" s="11" t="str">
        <f t="shared" si="1"/>
        <v>Card</v>
      </c>
      <c r="B120" s="11" t="s">
        <v>702</v>
      </c>
      <c r="C120" s="11" t="s">
        <v>703</v>
      </c>
      <c r="D120" s="11" t="s">
        <v>704</v>
      </c>
      <c r="E120" s="11" t="s">
        <v>705</v>
      </c>
      <c r="F120" s="11" t="s">
        <v>706</v>
      </c>
      <c r="G120" s="11" t="s">
        <v>707</v>
      </c>
      <c r="H120" s="11" t="s">
        <v>708</v>
      </c>
      <c r="I120" s="11" t="s">
        <v>1423</v>
      </c>
      <c r="J120" s="11" t="s">
        <v>1424</v>
      </c>
      <c r="K120" s="11" t="s">
        <v>703</v>
      </c>
      <c r="L120" s="11" t="s">
        <v>1425</v>
      </c>
      <c r="M120" s="11" t="s">
        <v>1430</v>
      </c>
    </row>
    <row r="121" spans="1:18" x14ac:dyDescent="0.35">
      <c r="A121" s="11" t="str">
        <f t="shared" si="1"/>
        <v>DuPrau</v>
      </c>
      <c r="B121" s="11" t="s">
        <v>709</v>
      </c>
      <c r="C121" s="11" t="s">
        <v>710</v>
      </c>
      <c r="D121" s="11" t="s">
        <v>711</v>
      </c>
      <c r="E121" s="11" t="s">
        <v>712</v>
      </c>
      <c r="F121" s="11" t="s">
        <v>713</v>
      </c>
    </row>
    <row r="122" spans="1:18" x14ac:dyDescent="0.35">
      <c r="A122" s="11" t="str">
        <f t="shared" si="1"/>
        <v>Lee</v>
      </c>
      <c r="B122" s="11" t="s">
        <v>714</v>
      </c>
      <c r="C122" s="11" t="s">
        <v>715</v>
      </c>
    </row>
    <row r="123" spans="1:18" x14ac:dyDescent="0.35">
      <c r="A123" s="11" t="str">
        <f t="shared" si="1"/>
        <v>Scott</v>
      </c>
      <c r="B123" s="11" t="s">
        <v>716</v>
      </c>
      <c r="C123" s="11" t="s">
        <v>717</v>
      </c>
      <c r="D123" s="11" t="s">
        <v>718</v>
      </c>
      <c r="E123" s="11" t="s">
        <v>719</v>
      </c>
      <c r="F123" s="11" t="s">
        <v>720</v>
      </c>
      <c r="G123" s="11" t="s">
        <v>721</v>
      </c>
      <c r="H123" s="11" t="s">
        <v>722</v>
      </c>
    </row>
    <row r="124" spans="1:18" x14ac:dyDescent="0.35">
      <c r="A124" s="11" t="str">
        <f t="shared" si="1"/>
        <v>Montgomery</v>
      </c>
      <c r="B124" s="11" t="s">
        <v>723</v>
      </c>
      <c r="C124" s="11" t="s">
        <v>724</v>
      </c>
      <c r="D124" s="11" t="s">
        <v>725</v>
      </c>
      <c r="E124" s="11" t="s">
        <v>726</v>
      </c>
      <c r="F124" s="11" t="s">
        <v>727</v>
      </c>
      <c r="G124" s="11" t="s">
        <v>728</v>
      </c>
      <c r="H124" s="11" t="s">
        <v>729</v>
      </c>
      <c r="I124" s="11" t="s">
        <v>730</v>
      </c>
      <c r="J124" s="11" t="s">
        <v>731</v>
      </c>
    </row>
    <row r="125" spans="1:18" x14ac:dyDescent="0.35">
      <c r="A125" s="11" t="str">
        <f t="shared" si="1"/>
        <v>Coville</v>
      </c>
      <c r="B125" s="11" t="s">
        <v>732</v>
      </c>
      <c r="C125" s="11" t="s">
        <v>733</v>
      </c>
      <c r="D125" s="11" t="s">
        <v>734</v>
      </c>
      <c r="E125" s="11" t="s">
        <v>735</v>
      </c>
      <c r="F125" s="11" t="s">
        <v>736</v>
      </c>
    </row>
    <row r="126" spans="1:18" x14ac:dyDescent="0.35">
      <c r="A126" s="11" t="str">
        <f t="shared" si="1"/>
        <v>Stevenson</v>
      </c>
      <c r="B126" s="11" t="s">
        <v>737</v>
      </c>
      <c r="C126" s="11" t="s">
        <v>738</v>
      </c>
    </row>
    <row r="127" spans="1:18" x14ac:dyDescent="0.35">
      <c r="A127" s="11" t="str">
        <f t="shared" si="1"/>
        <v>Kostick</v>
      </c>
      <c r="B127" s="11" t="s">
        <v>739</v>
      </c>
      <c r="C127" s="11" t="s">
        <v>740</v>
      </c>
      <c r="D127" s="11" t="s">
        <v>741</v>
      </c>
    </row>
    <row r="128" spans="1:18" x14ac:dyDescent="0.35">
      <c r="A128" s="11" t="str">
        <f t="shared" si="1"/>
        <v>Eager</v>
      </c>
      <c r="B128" s="11" t="s">
        <v>742</v>
      </c>
      <c r="C128" s="11" t="s">
        <v>743</v>
      </c>
      <c r="D128" s="11" t="s">
        <v>744</v>
      </c>
      <c r="E128" s="11" t="s">
        <v>745</v>
      </c>
    </row>
    <row r="129" spans="1:14" x14ac:dyDescent="0.35">
      <c r="A129" s="11" t="str">
        <f t="shared" ref="A129:A192" si="2">TRIM(RIGHT(SUBSTITUTE(B129," ",REPT(" ",LEN(B129))),LEN(B129)))</f>
        <v>Grant</v>
      </c>
      <c r="B129" s="11" t="s">
        <v>746</v>
      </c>
      <c r="C129" s="11" t="s">
        <v>747</v>
      </c>
      <c r="D129" s="11" t="s">
        <v>748</v>
      </c>
      <c r="E129" s="11" t="s">
        <v>749</v>
      </c>
      <c r="F129" s="11" t="s">
        <v>750</v>
      </c>
      <c r="G129" s="11" t="s">
        <v>751</v>
      </c>
      <c r="H129" s="11" t="s">
        <v>752</v>
      </c>
    </row>
    <row r="130" spans="1:14" x14ac:dyDescent="0.35">
      <c r="A130" s="11" t="str">
        <f t="shared" si="2"/>
        <v>George</v>
      </c>
      <c r="B130" s="11" t="s">
        <v>753</v>
      </c>
      <c r="C130" s="11" t="s">
        <v>754</v>
      </c>
      <c r="D130" s="11" t="s">
        <v>755</v>
      </c>
      <c r="E130" s="11" t="s">
        <v>756</v>
      </c>
      <c r="F130" s="11" t="s">
        <v>757</v>
      </c>
      <c r="G130" s="11" t="s">
        <v>758</v>
      </c>
      <c r="H130" s="11" t="s">
        <v>759</v>
      </c>
      <c r="I130" s="11" t="s">
        <v>760</v>
      </c>
      <c r="J130" s="11" t="s">
        <v>761</v>
      </c>
      <c r="K130" s="11" t="s">
        <v>762</v>
      </c>
      <c r="L130" s="11" t="s">
        <v>763</v>
      </c>
      <c r="M130" s="11" t="s">
        <v>764</v>
      </c>
      <c r="N130" s="11" t="s">
        <v>765</v>
      </c>
    </row>
    <row r="131" spans="1:14" x14ac:dyDescent="0.35">
      <c r="A131" s="11" t="str">
        <f t="shared" si="2"/>
        <v>Wojciechowska</v>
      </c>
      <c r="B131" s="11" t="s">
        <v>766</v>
      </c>
      <c r="C131" s="11" t="s">
        <v>767</v>
      </c>
    </row>
    <row r="132" spans="1:14" x14ac:dyDescent="0.35">
      <c r="A132" s="11" t="str">
        <f t="shared" si="2"/>
        <v>Verne</v>
      </c>
      <c r="B132" s="11" t="s">
        <v>768</v>
      </c>
      <c r="C132" s="11" t="s">
        <v>769</v>
      </c>
      <c r="D132" s="11" t="s">
        <v>770</v>
      </c>
    </row>
    <row r="133" spans="1:14" x14ac:dyDescent="0.35">
      <c r="A133" s="11" t="str">
        <f t="shared" si="2"/>
        <v>Bligh</v>
      </c>
      <c r="B133" s="11" t="s">
        <v>771</v>
      </c>
      <c r="C133" s="11" t="s">
        <v>772</v>
      </c>
    </row>
    <row r="134" spans="1:14" x14ac:dyDescent="0.35">
      <c r="A134" s="11" t="str">
        <f t="shared" si="2"/>
        <v>Eisenberg</v>
      </c>
      <c r="B134" s="11" t="s">
        <v>773</v>
      </c>
      <c r="C134" s="11" t="s">
        <v>774</v>
      </c>
    </row>
    <row r="135" spans="1:14" x14ac:dyDescent="0.35">
      <c r="A135" s="11" t="str">
        <f t="shared" si="2"/>
        <v>Hamilton</v>
      </c>
      <c r="B135" s="11" t="s">
        <v>775</v>
      </c>
      <c r="C135" s="11" t="s">
        <v>776</v>
      </c>
    </row>
    <row r="136" spans="1:14" x14ac:dyDescent="0.35">
      <c r="A136" s="11" t="str">
        <f t="shared" si="2"/>
        <v>Clancy</v>
      </c>
      <c r="B136" s="11" t="s">
        <v>777</v>
      </c>
      <c r="C136" s="11" t="s">
        <v>778</v>
      </c>
    </row>
    <row r="137" spans="1:14" x14ac:dyDescent="0.35">
      <c r="A137" s="11" t="str">
        <f t="shared" si="2"/>
        <v>Walden</v>
      </c>
      <c r="B137" s="11" t="s">
        <v>779</v>
      </c>
      <c r="C137" s="11" t="s">
        <v>780</v>
      </c>
      <c r="D137" s="11" t="s">
        <v>781</v>
      </c>
      <c r="E137" s="11" t="s">
        <v>782</v>
      </c>
      <c r="F137" s="11" t="s">
        <v>783</v>
      </c>
      <c r="G137" s="11" t="s">
        <v>784</v>
      </c>
      <c r="H137" s="11" t="s">
        <v>785</v>
      </c>
      <c r="I137" s="11" t="s">
        <v>786</v>
      </c>
      <c r="J137" s="11" t="s">
        <v>787</v>
      </c>
    </row>
    <row r="138" spans="1:14" x14ac:dyDescent="0.35">
      <c r="A138" s="11" t="str">
        <f t="shared" si="2"/>
        <v>Winthrop</v>
      </c>
      <c r="B138" s="11" t="s">
        <v>788</v>
      </c>
      <c r="C138" s="11" t="s">
        <v>789</v>
      </c>
      <c r="D138" s="11" t="s">
        <v>790</v>
      </c>
    </row>
    <row r="139" spans="1:14" x14ac:dyDescent="0.35">
      <c r="A139" s="11" t="str">
        <f t="shared" si="2"/>
        <v>Conly</v>
      </c>
      <c r="B139" s="11" t="s">
        <v>791</v>
      </c>
      <c r="C139" s="11" t="s">
        <v>792</v>
      </c>
      <c r="D139" s="11" t="s">
        <v>793</v>
      </c>
    </row>
    <row r="140" spans="1:14" x14ac:dyDescent="0.35">
      <c r="A140" s="11" t="str">
        <f t="shared" si="2"/>
        <v>London</v>
      </c>
      <c r="B140" s="11" t="s">
        <v>794</v>
      </c>
      <c r="C140" s="11" t="s">
        <v>795</v>
      </c>
      <c r="D140" s="11" t="s">
        <v>796</v>
      </c>
    </row>
    <row r="141" spans="1:14" x14ac:dyDescent="0.35">
      <c r="A141" s="11" t="str">
        <f t="shared" si="2"/>
        <v>Fitzgerald</v>
      </c>
      <c r="B141" s="11" t="s">
        <v>797</v>
      </c>
      <c r="C141" s="11" t="s">
        <v>798</v>
      </c>
    </row>
    <row r="142" spans="1:14" x14ac:dyDescent="0.35">
      <c r="A142" s="11" t="str">
        <f t="shared" si="2"/>
        <v>Alcott</v>
      </c>
      <c r="B142" s="11" t="s">
        <v>799</v>
      </c>
      <c r="C142" s="11" t="s">
        <v>800</v>
      </c>
      <c r="D142" s="11" t="s">
        <v>801</v>
      </c>
      <c r="E142" s="11" t="s">
        <v>802</v>
      </c>
    </row>
    <row r="143" spans="1:14" x14ac:dyDescent="0.35">
      <c r="A143" s="11" t="str">
        <f t="shared" si="2"/>
        <v>Mitchell</v>
      </c>
      <c r="B143" s="11" t="s">
        <v>803</v>
      </c>
      <c r="C143" s="11" t="s">
        <v>804</v>
      </c>
    </row>
    <row r="144" spans="1:14" x14ac:dyDescent="0.35">
      <c r="A144" s="11" t="str">
        <f t="shared" si="2"/>
        <v>Taylor</v>
      </c>
      <c r="B144" s="11" t="s">
        <v>805</v>
      </c>
      <c r="C144" s="11" t="s">
        <v>806</v>
      </c>
      <c r="D144" s="11" t="s">
        <v>807</v>
      </c>
      <c r="E144" s="11" t="s">
        <v>808</v>
      </c>
      <c r="F144" s="11" t="s">
        <v>809</v>
      </c>
      <c r="G144" s="11" t="s">
        <v>810</v>
      </c>
    </row>
    <row r="145" spans="1:10" x14ac:dyDescent="0.35">
      <c r="A145" s="11" t="str">
        <f t="shared" si="2"/>
        <v>Cisneros</v>
      </c>
      <c r="B145" s="11" t="s">
        <v>811</v>
      </c>
      <c r="C145" s="11" t="s">
        <v>812</v>
      </c>
    </row>
    <row r="146" spans="1:10" x14ac:dyDescent="0.35">
      <c r="A146" s="11" t="str">
        <f t="shared" si="2"/>
        <v>Cooper</v>
      </c>
      <c r="B146" s="11" t="s">
        <v>813</v>
      </c>
      <c r="C146" s="11" t="s">
        <v>814</v>
      </c>
    </row>
    <row r="147" spans="1:10" x14ac:dyDescent="0.35">
      <c r="A147" s="11" t="str">
        <f t="shared" si="2"/>
        <v>Hesse</v>
      </c>
      <c r="B147" s="11" t="s">
        <v>815</v>
      </c>
      <c r="C147" s="11" t="s">
        <v>816</v>
      </c>
    </row>
    <row r="148" spans="1:10" x14ac:dyDescent="0.35">
      <c r="A148" s="11" t="str">
        <f t="shared" si="2"/>
        <v>Lofting</v>
      </c>
      <c r="B148" s="11" t="s">
        <v>817</v>
      </c>
      <c r="C148" s="11" t="s">
        <v>818</v>
      </c>
      <c r="D148" s="11" t="s">
        <v>819</v>
      </c>
      <c r="E148" s="11" t="s">
        <v>820</v>
      </c>
    </row>
    <row r="149" spans="1:10" x14ac:dyDescent="0.35">
      <c r="A149" s="11" t="str">
        <f t="shared" si="2"/>
        <v>Scientist</v>
      </c>
      <c r="B149" s="11" t="s">
        <v>821</v>
      </c>
      <c r="C149" s="11" t="s">
        <v>822</v>
      </c>
      <c r="D149" s="11" t="s">
        <v>823</v>
      </c>
    </row>
    <row r="150" spans="1:10" x14ac:dyDescent="0.35">
      <c r="A150" s="11" t="str">
        <f t="shared" si="2"/>
        <v>Colum</v>
      </c>
      <c r="B150" s="11" t="s">
        <v>824</v>
      </c>
      <c r="C150" s="11" t="s">
        <v>825</v>
      </c>
    </row>
    <row r="151" spans="1:10" x14ac:dyDescent="0.35">
      <c r="A151" s="11" t="str">
        <f t="shared" si="2"/>
        <v>Haas</v>
      </c>
      <c r="B151" s="11" t="s">
        <v>826</v>
      </c>
      <c r="C151" s="11" t="s">
        <v>827</v>
      </c>
    </row>
    <row r="152" spans="1:10" x14ac:dyDescent="0.35">
      <c r="A152" s="11" t="str">
        <f t="shared" si="2"/>
        <v>Hillerman</v>
      </c>
      <c r="B152" s="11" t="s">
        <v>828</v>
      </c>
      <c r="C152" s="11" t="s">
        <v>829</v>
      </c>
    </row>
    <row r="153" spans="1:10" x14ac:dyDescent="0.35">
      <c r="A153" s="11" t="str">
        <f t="shared" si="2"/>
        <v>King-Smith</v>
      </c>
      <c r="B153" s="11" t="s">
        <v>830</v>
      </c>
      <c r="C153" s="11" t="s">
        <v>831</v>
      </c>
      <c r="D153" s="11" t="s">
        <v>832</v>
      </c>
      <c r="E153" s="11" t="s">
        <v>833</v>
      </c>
      <c r="F153" s="11" t="s">
        <v>834</v>
      </c>
      <c r="G153" s="11" t="s">
        <v>835</v>
      </c>
      <c r="H153" s="11" t="s">
        <v>836</v>
      </c>
      <c r="I153" s="11" t="s">
        <v>837</v>
      </c>
      <c r="J153" s="11" t="s">
        <v>838</v>
      </c>
    </row>
    <row r="154" spans="1:10" x14ac:dyDescent="0.35">
      <c r="A154" s="11" t="str">
        <f t="shared" si="2"/>
        <v>Brinley</v>
      </c>
      <c r="B154" s="11" t="s">
        <v>839</v>
      </c>
      <c r="C154" s="11" t="s">
        <v>840</v>
      </c>
    </row>
    <row r="155" spans="1:10" x14ac:dyDescent="0.35">
      <c r="A155" s="11" t="str">
        <f t="shared" si="2"/>
        <v>Dodge</v>
      </c>
      <c r="B155" s="11" t="s">
        <v>841</v>
      </c>
      <c r="C155" s="11" t="s">
        <v>842</v>
      </c>
    </row>
    <row r="156" spans="1:10" x14ac:dyDescent="0.35">
      <c r="A156" s="11" t="str">
        <f t="shared" si="2"/>
        <v>Curie</v>
      </c>
      <c r="B156" s="11" t="s">
        <v>843</v>
      </c>
      <c r="C156" s="11" t="s">
        <v>844</v>
      </c>
    </row>
    <row r="157" spans="1:10" x14ac:dyDescent="0.35">
      <c r="A157" s="11" t="str">
        <f t="shared" si="2"/>
        <v>Forester</v>
      </c>
      <c r="B157" s="11" t="s">
        <v>845</v>
      </c>
      <c r="C157" s="11" t="s">
        <v>846</v>
      </c>
    </row>
    <row r="158" spans="1:10" x14ac:dyDescent="0.35">
      <c r="A158" s="11" t="str">
        <f t="shared" si="2"/>
        <v>Defoe</v>
      </c>
      <c r="B158" s="11" t="s">
        <v>847</v>
      </c>
      <c r="C158" s="11" t="s">
        <v>848</v>
      </c>
    </row>
    <row r="159" spans="1:10" x14ac:dyDescent="0.35">
      <c r="A159" s="11" t="str">
        <f t="shared" si="2"/>
        <v>Kipling</v>
      </c>
      <c r="B159" s="11" t="s">
        <v>849</v>
      </c>
      <c r="C159" s="11" t="s">
        <v>850</v>
      </c>
      <c r="D159" s="11" t="s">
        <v>851</v>
      </c>
    </row>
    <row r="160" spans="1:10" x14ac:dyDescent="0.35">
      <c r="A160" s="11" t="str">
        <f t="shared" si="2"/>
        <v>Keller</v>
      </c>
      <c r="B160" s="11" t="s">
        <v>852</v>
      </c>
      <c r="C160" s="11" t="s">
        <v>853</v>
      </c>
    </row>
    <row r="161" spans="1:6" x14ac:dyDescent="0.35">
      <c r="A161" s="11" t="str">
        <f t="shared" si="2"/>
        <v>Thompson</v>
      </c>
      <c r="B161" s="11" t="s">
        <v>1478</v>
      </c>
      <c r="C161" s="11" t="s">
        <v>1479</v>
      </c>
    </row>
    <row r="162" spans="1:6" x14ac:dyDescent="0.35">
      <c r="A162" s="11" t="str">
        <f t="shared" si="2"/>
        <v>Meltzer</v>
      </c>
      <c r="B162" s="11" t="s">
        <v>854</v>
      </c>
      <c r="C162" s="11" t="s">
        <v>855</v>
      </c>
    </row>
    <row r="163" spans="1:6" x14ac:dyDescent="0.35">
      <c r="A163" s="11" t="str">
        <f t="shared" si="2"/>
        <v>Adams</v>
      </c>
      <c r="B163" s="11" t="s">
        <v>856</v>
      </c>
      <c r="C163" s="11" t="s">
        <v>857</v>
      </c>
      <c r="D163" s="11" t="s">
        <v>858</v>
      </c>
      <c r="E163" s="11" t="s">
        <v>859</v>
      </c>
      <c r="F163" s="11" t="s">
        <v>860</v>
      </c>
    </row>
    <row r="164" spans="1:6" x14ac:dyDescent="0.35">
      <c r="A164" s="11" t="str">
        <f t="shared" si="2"/>
        <v>Swift</v>
      </c>
      <c r="B164" s="11" t="s">
        <v>861</v>
      </c>
      <c r="C164" s="11" t="s">
        <v>862</v>
      </c>
    </row>
    <row r="165" spans="1:6" x14ac:dyDescent="0.35">
      <c r="A165" s="11" t="str">
        <f t="shared" si="2"/>
        <v>Spinelli</v>
      </c>
      <c r="B165" s="11" t="s">
        <v>863</v>
      </c>
      <c r="C165" s="11" t="s">
        <v>864</v>
      </c>
      <c r="D165" s="11" t="s">
        <v>865</v>
      </c>
    </row>
    <row r="166" spans="1:6" x14ac:dyDescent="0.35">
      <c r="A166" s="11" t="str">
        <f t="shared" si="2"/>
        <v>O'Dell</v>
      </c>
      <c r="B166" s="11" t="s">
        <v>866</v>
      </c>
      <c r="C166" s="11" t="s">
        <v>867</v>
      </c>
    </row>
    <row r="167" spans="1:6" x14ac:dyDescent="0.35">
      <c r="A167" s="11" t="str">
        <f t="shared" si="2"/>
        <v>Sachar</v>
      </c>
      <c r="B167" s="11" t="s">
        <v>868</v>
      </c>
      <c r="C167" s="11" t="s">
        <v>869</v>
      </c>
      <c r="D167" s="11" t="s">
        <v>870</v>
      </c>
    </row>
    <row r="168" spans="1:6" x14ac:dyDescent="0.35">
      <c r="A168" s="11" t="str">
        <f t="shared" si="2"/>
        <v>Maclachlan</v>
      </c>
      <c r="B168" s="11" t="s">
        <v>871</v>
      </c>
      <c r="C168" s="11" t="s">
        <v>872</v>
      </c>
    </row>
    <row r="169" spans="1:6" x14ac:dyDescent="0.35">
      <c r="A169" s="11" t="str">
        <f t="shared" si="2"/>
        <v>George</v>
      </c>
      <c r="B169" s="11" t="s">
        <v>873</v>
      </c>
      <c r="C169" s="11" t="s">
        <v>874</v>
      </c>
    </row>
    <row r="170" spans="1:6" x14ac:dyDescent="0.35">
      <c r="A170" s="11" t="str">
        <f t="shared" si="2"/>
        <v>DiCamillo</v>
      </c>
      <c r="B170" s="11" t="s">
        <v>875</v>
      </c>
      <c r="C170" s="11" t="s">
        <v>876</v>
      </c>
      <c r="D170" s="11" t="s">
        <v>877</v>
      </c>
    </row>
    <row r="171" spans="1:6" x14ac:dyDescent="0.35">
      <c r="A171" s="11" t="str">
        <f t="shared" si="2"/>
        <v>Horvath</v>
      </c>
      <c r="B171" s="11" t="s">
        <v>878</v>
      </c>
      <c r="C171" s="11" t="s">
        <v>879</v>
      </c>
    </row>
    <row r="172" spans="1:6" x14ac:dyDescent="0.35">
      <c r="A172" s="11" t="str">
        <f t="shared" si="2"/>
        <v>Tolan</v>
      </c>
      <c r="B172" s="11" t="s">
        <v>880</v>
      </c>
      <c r="C172" s="11" t="s">
        <v>881</v>
      </c>
    </row>
    <row r="173" spans="1:6" x14ac:dyDescent="0.35">
      <c r="A173" s="11" t="str">
        <f t="shared" si="2"/>
        <v>Creech</v>
      </c>
      <c r="B173" s="11" t="s">
        <v>882</v>
      </c>
      <c r="C173" s="11" t="s">
        <v>883</v>
      </c>
      <c r="D173" s="11" t="s">
        <v>884</v>
      </c>
      <c r="E173" s="11" t="s">
        <v>885</v>
      </c>
      <c r="F173" s="11" t="s">
        <v>1406</v>
      </c>
    </row>
    <row r="174" spans="1:6" x14ac:dyDescent="0.35">
      <c r="A174" s="11" t="str">
        <f t="shared" si="2"/>
        <v>Levine</v>
      </c>
      <c r="B174" s="11" t="s">
        <v>886</v>
      </c>
      <c r="C174" s="11" t="s">
        <v>887</v>
      </c>
    </row>
    <row r="175" spans="1:6" x14ac:dyDescent="0.35">
      <c r="A175" s="11" t="str">
        <f t="shared" si="2"/>
        <v>McGraw</v>
      </c>
      <c r="B175" s="11" t="s">
        <v>888</v>
      </c>
      <c r="C175" s="11" t="s">
        <v>1477</v>
      </c>
    </row>
    <row r="176" spans="1:6" x14ac:dyDescent="0.35">
      <c r="A176" s="11" t="str">
        <f t="shared" si="2"/>
        <v>Speare</v>
      </c>
      <c r="B176" s="11" t="s">
        <v>889</v>
      </c>
      <c r="C176" s="11" t="s">
        <v>890</v>
      </c>
    </row>
    <row r="177" spans="1:8" x14ac:dyDescent="0.35">
      <c r="A177" s="11" t="str">
        <f t="shared" si="2"/>
        <v>Voigt</v>
      </c>
      <c r="B177" s="11" t="s">
        <v>891</v>
      </c>
      <c r="C177" s="11" t="s">
        <v>892</v>
      </c>
      <c r="D177" s="11" t="s">
        <v>893</v>
      </c>
      <c r="E177" s="11" t="s">
        <v>894</v>
      </c>
      <c r="F177" s="11" t="s">
        <v>1474</v>
      </c>
    </row>
    <row r="178" spans="1:8" x14ac:dyDescent="0.35">
      <c r="A178" s="11" t="str">
        <f t="shared" si="2"/>
        <v>Byars</v>
      </c>
      <c r="B178" s="11" t="s">
        <v>895</v>
      </c>
      <c r="C178" s="11" t="s">
        <v>896</v>
      </c>
      <c r="D178" s="11" t="s">
        <v>897</v>
      </c>
    </row>
    <row r="179" spans="1:8" x14ac:dyDescent="0.35">
      <c r="A179" s="11" t="str">
        <f t="shared" si="2"/>
        <v>Alexander</v>
      </c>
      <c r="B179" s="11" t="s">
        <v>898</v>
      </c>
      <c r="C179" s="11" t="s">
        <v>899</v>
      </c>
      <c r="D179" s="11" t="s">
        <v>900</v>
      </c>
      <c r="E179" s="11" t="s">
        <v>901</v>
      </c>
      <c r="F179" s="11" t="s">
        <v>902</v>
      </c>
      <c r="G179" s="11" t="s">
        <v>903</v>
      </c>
      <c r="H179" s="11" t="s">
        <v>1466</v>
      </c>
    </row>
    <row r="180" spans="1:8" x14ac:dyDescent="0.35">
      <c r="A180" s="11" t="str">
        <f t="shared" si="2"/>
        <v>Orwell</v>
      </c>
      <c r="B180" s="11" t="s">
        <v>904</v>
      </c>
      <c r="C180" s="11" t="s">
        <v>905</v>
      </c>
      <c r="D180" s="11" t="s">
        <v>906</v>
      </c>
    </row>
    <row r="181" spans="1:8" x14ac:dyDescent="0.35">
      <c r="A181" s="11" t="str">
        <f t="shared" si="2"/>
        <v>Pratchett</v>
      </c>
      <c r="B181" s="11" t="s">
        <v>907</v>
      </c>
      <c r="C181" s="11" t="s">
        <v>908</v>
      </c>
    </row>
    <row r="182" spans="1:8" x14ac:dyDescent="0.35">
      <c r="A182" s="11" t="str">
        <f t="shared" si="2"/>
        <v>Savage</v>
      </c>
      <c r="B182" s="11" t="s">
        <v>909</v>
      </c>
      <c r="C182" s="11" t="s">
        <v>910</v>
      </c>
    </row>
    <row r="183" spans="1:8" x14ac:dyDescent="0.35">
      <c r="A183" s="11" t="str">
        <f t="shared" si="2"/>
        <v>DeJong</v>
      </c>
      <c r="B183" s="11" t="s">
        <v>911</v>
      </c>
      <c r="C183" s="11" t="s">
        <v>912</v>
      </c>
    </row>
    <row r="184" spans="1:8" x14ac:dyDescent="0.35">
      <c r="A184" s="11" t="str">
        <f t="shared" si="2"/>
        <v>White</v>
      </c>
      <c r="B184" s="11" t="s">
        <v>913</v>
      </c>
      <c r="C184" s="11" t="s">
        <v>914</v>
      </c>
      <c r="D184" s="11" t="s">
        <v>915</v>
      </c>
      <c r="E184" s="11" t="s">
        <v>916</v>
      </c>
    </row>
    <row r="185" spans="1:8" x14ac:dyDescent="0.35">
      <c r="A185" s="11" t="str">
        <f t="shared" si="2"/>
        <v>Nesbit</v>
      </c>
      <c r="B185" s="11" t="s">
        <v>917</v>
      </c>
      <c r="C185" s="11" t="s">
        <v>918</v>
      </c>
      <c r="D185" s="11" t="s">
        <v>919</v>
      </c>
      <c r="E185" s="11" t="s">
        <v>920</v>
      </c>
      <c r="F185" s="11" t="s">
        <v>921</v>
      </c>
    </row>
    <row r="186" spans="1:8" x14ac:dyDescent="0.35">
      <c r="A186" s="11" t="str">
        <f t="shared" si="2"/>
        <v>Gannett</v>
      </c>
      <c r="B186" s="11" t="s">
        <v>922</v>
      </c>
      <c r="C186" s="11" t="s">
        <v>923</v>
      </c>
      <c r="D186" s="11" t="s">
        <v>924</v>
      </c>
      <c r="E186" s="11" t="s">
        <v>925</v>
      </c>
    </row>
    <row r="187" spans="1:8" x14ac:dyDescent="0.35">
      <c r="A187" s="11" t="str">
        <f t="shared" si="2"/>
        <v>James</v>
      </c>
      <c r="B187" s="11" t="s">
        <v>926</v>
      </c>
      <c r="C187" s="11" t="s">
        <v>927</v>
      </c>
    </row>
    <row r="188" spans="1:8" x14ac:dyDescent="0.35">
      <c r="A188" s="11" t="str">
        <f t="shared" si="2"/>
        <v>Goding</v>
      </c>
      <c r="B188" s="11" t="s">
        <v>928</v>
      </c>
      <c r="C188" s="11" t="s">
        <v>929</v>
      </c>
    </row>
    <row r="189" spans="1:8" x14ac:dyDescent="0.35">
      <c r="A189" s="11" t="str">
        <f t="shared" si="2"/>
        <v>Thomas</v>
      </c>
      <c r="B189" s="11" t="s">
        <v>930</v>
      </c>
      <c r="C189" s="11" t="s">
        <v>931</v>
      </c>
    </row>
    <row r="190" spans="1:8" x14ac:dyDescent="0.35">
      <c r="A190" s="11" t="str">
        <f t="shared" si="2"/>
        <v>Silverstien</v>
      </c>
      <c r="B190" s="11" t="s">
        <v>932</v>
      </c>
      <c r="C190" s="11" t="s">
        <v>933</v>
      </c>
    </row>
    <row r="191" spans="1:8" x14ac:dyDescent="0.35">
      <c r="A191" s="11" t="str">
        <f t="shared" si="2"/>
        <v>Messmore</v>
      </c>
      <c r="B191" s="11" t="s">
        <v>1446</v>
      </c>
      <c r="C191" s="11" t="s">
        <v>1447</v>
      </c>
    </row>
    <row r="192" spans="1:8" x14ac:dyDescent="0.35">
      <c r="A192" s="11" t="str">
        <f t="shared" si="2"/>
        <v>Stier</v>
      </c>
      <c r="B192" s="11" t="s">
        <v>935</v>
      </c>
      <c r="C192" s="11" t="s">
        <v>934</v>
      </c>
    </row>
    <row r="193" spans="1:6" x14ac:dyDescent="0.35">
      <c r="A193" s="11" t="str">
        <f t="shared" ref="A193:A254" si="3">TRIM(RIGHT(SUBSTITUTE(B193," ",REPT(" ",LEN(B193))),LEN(B193)))</f>
        <v>Farley</v>
      </c>
      <c r="B193" s="11" t="s">
        <v>936</v>
      </c>
      <c r="C193" s="11" t="s">
        <v>937</v>
      </c>
      <c r="D193" s="11" t="s">
        <v>938</v>
      </c>
    </row>
    <row r="194" spans="1:6" x14ac:dyDescent="0.35">
      <c r="A194" s="11" t="str">
        <f t="shared" si="3"/>
        <v>Hope</v>
      </c>
      <c r="B194" s="11" t="s">
        <v>939</v>
      </c>
      <c r="C194" s="11" t="s">
        <v>940</v>
      </c>
      <c r="D194" s="11" t="s">
        <v>941</v>
      </c>
      <c r="E194" s="11" t="s">
        <v>942</v>
      </c>
      <c r="F194" s="11" t="s">
        <v>943</v>
      </c>
    </row>
    <row r="195" spans="1:6" x14ac:dyDescent="0.35">
      <c r="A195" s="11" t="str">
        <f t="shared" si="3"/>
        <v>Homer</v>
      </c>
      <c r="B195" s="11" t="s">
        <v>944</v>
      </c>
      <c r="C195" s="11" t="s">
        <v>945</v>
      </c>
      <c r="D195" s="11" t="s">
        <v>946</v>
      </c>
    </row>
    <row r="196" spans="1:6" x14ac:dyDescent="0.35">
      <c r="A196" s="11" t="str">
        <f t="shared" si="3"/>
        <v>Carroll</v>
      </c>
      <c r="B196" s="11" t="s">
        <v>950</v>
      </c>
      <c r="C196" s="11" t="s">
        <v>951</v>
      </c>
    </row>
    <row r="197" spans="1:6" x14ac:dyDescent="0.35">
      <c r="A197" s="11" t="str">
        <f t="shared" si="3"/>
        <v>Kafka</v>
      </c>
      <c r="B197" s="11" t="s">
        <v>952</v>
      </c>
      <c r="C197" s="11" t="s">
        <v>953</v>
      </c>
      <c r="D197" s="11" t="s">
        <v>954</v>
      </c>
    </row>
    <row r="198" spans="1:6" x14ac:dyDescent="0.35">
      <c r="A198" s="11" t="str">
        <f t="shared" si="3"/>
        <v>Anonymous</v>
      </c>
      <c r="B198" s="11" t="s">
        <v>955</v>
      </c>
      <c r="C198" s="11" t="s">
        <v>956</v>
      </c>
    </row>
    <row r="199" spans="1:6" x14ac:dyDescent="0.35">
      <c r="A199" s="11" t="str">
        <f t="shared" si="3"/>
        <v>Goethe</v>
      </c>
      <c r="B199" s="11" t="s">
        <v>957</v>
      </c>
      <c r="C199" s="11" t="s">
        <v>958</v>
      </c>
    </row>
    <row r="200" spans="1:6" x14ac:dyDescent="0.35">
      <c r="A200" s="11" t="str">
        <f t="shared" si="3"/>
        <v>Grimm</v>
      </c>
      <c r="B200" s="11" t="s">
        <v>959</v>
      </c>
      <c r="C200" s="11" t="s">
        <v>960</v>
      </c>
    </row>
    <row r="201" spans="1:6" x14ac:dyDescent="0.35">
      <c r="A201" s="11" t="str">
        <f t="shared" si="3"/>
        <v>Conrad</v>
      </c>
      <c r="B201" s="11" t="s">
        <v>961</v>
      </c>
      <c r="C201" s="11" t="s">
        <v>962</v>
      </c>
    </row>
    <row r="202" spans="1:6" x14ac:dyDescent="0.35">
      <c r="A202" s="11" t="str">
        <f t="shared" si="3"/>
        <v>Spyri</v>
      </c>
      <c r="B202" s="11" t="s">
        <v>963</v>
      </c>
      <c r="C202" s="11" t="s">
        <v>964</v>
      </c>
    </row>
    <row r="203" spans="1:6" x14ac:dyDescent="0.35">
      <c r="A203" s="11" t="str">
        <f t="shared" si="3"/>
        <v>Stowe</v>
      </c>
      <c r="B203" s="11" t="s">
        <v>965</v>
      </c>
      <c r="C203" s="11" t="s">
        <v>966</v>
      </c>
    </row>
    <row r="204" spans="1:6" x14ac:dyDescent="0.35">
      <c r="A204" s="11" t="str">
        <f t="shared" si="3"/>
        <v>Goodman</v>
      </c>
      <c r="B204" s="11" t="s">
        <v>967</v>
      </c>
      <c r="C204" s="11" t="s">
        <v>968</v>
      </c>
      <c r="D204" s="11" t="s">
        <v>969</v>
      </c>
    </row>
    <row r="205" spans="1:6" x14ac:dyDescent="0.35">
      <c r="A205" s="11" t="str">
        <f t="shared" si="3"/>
        <v>Williams</v>
      </c>
      <c r="B205" s="11" t="s">
        <v>970</v>
      </c>
      <c r="C205" s="11" t="s">
        <v>971</v>
      </c>
    </row>
    <row r="206" spans="1:6" x14ac:dyDescent="0.35">
      <c r="A206" s="11" t="str">
        <f t="shared" si="3"/>
        <v>Saint-Exupery</v>
      </c>
      <c r="B206" s="11" t="s">
        <v>972</v>
      </c>
      <c r="C206" s="11" t="s">
        <v>973</v>
      </c>
    </row>
    <row r="207" spans="1:6" x14ac:dyDescent="0.35">
      <c r="A207" s="11" t="str">
        <f t="shared" si="3"/>
        <v>Bruchac</v>
      </c>
      <c r="B207" s="11" t="s">
        <v>1470</v>
      </c>
      <c r="C207" s="11" t="s">
        <v>1471</v>
      </c>
    </row>
    <row r="208" spans="1:6" x14ac:dyDescent="0.35">
      <c r="A208" s="11" t="str">
        <f t="shared" si="3"/>
        <v>Sleator</v>
      </c>
      <c r="B208" s="11" t="s">
        <v>1472</v>
      </c>
      <c r="C208" s="11" t="s">
        <v>1473</v>
      </c>
    </row>
    <row r="209" spans="1:6" x14ac:dyDescent="0.35">
      <c r="A209" s="11" t="str">
        <f t="shared" si="3"/>
        <v>Norton</v>
      </c>
      <c r="B209" s="11" t="s">
        <v>621</v>
      </c>
      <c r="C209" s="11" t="s">
        <v>1467</v>
      </c>
      <c r="D209" s="11" t="s">
        <v>1468</v>
      </c>
      <c r="E209" s="11" t="s">
        <v>1469</v>
      </c>
      <c r="F209" s="11" t="s">
        <v>1628</v>
      </c>
    </row>
    <row r="210" spans="1:6" x14ac:dyDescent="0.35">
      <c r="A210" s="11" t="str">
        <f t="shared" si="3"/>
        <v>Collodi</v>
      </c>
      <c r="B210" s="11" t="s">
        <v>974</v>
      </c>
      <c r="C210" s="11" t="s">
        <v>975</v>
      </c>
    </row>
    <row r="211" spans="1:6" x14ac:dyDescent="0.35">
      <c r="A211" s="11" t="str">
        <f t="shared" si="3"/>
        <v>Travers</v>
      </c>
      <c r="B211" s="11" t="s">
        <v>976</v>
      </c>
      <c r="C211" s="11" t="s">
        <v>977</v>
      </c>
      <c r="D211" s="11" t="s">
        <v>978</v>
      </c>
      <c r="E211" s="11" t="s">
        <v>979</v>
      </c>
      <c r="F211" s="11" t="s">
        <v>980</v>
      </c>
    </row>
    <row r="212" spans="1:6" x14ac:dyDescent="0.35">
      <c r="A212" s="11" t="str">
        <f t="shared" si="3"/>
        <v>Babbitt</v>
      </c>
      <c r="B212" s="11" t="s">
        <v>981</v>
      </c>
      <c r="C212" s="11" t="s">
        <v>982</v>
      </c>
    </row>
    <row r="213" spans="1:6" x14ac:dyDescent="0.35">
      <c r="A213" s="11" t="str">
        <f t="shared" si="3"/>
        <v>Fikkert</v>
      </c>
      <c r="B213" s="11" t="s">
        <v>983</v>
      </c>
      <c r="C213" s="11" t="s">
        <v>984</v>
      </c>
    </row>
    <row r="214" spans="1:6" x14ac:dyDescent="0.35">
      <c r="A214" s="11" t="str">
        <f t="shared" si="3"/>
        <v>Lupica</v>
      </c>
      <c r="B214" s="11" t="s">
        <v>985</v>
      </c>
      <c r="C214" s="11" t="s">
        <v>986</v>
      </c>
    </row>
    <row r="215" spans="1:6" x14ac:dyDescent="0.35">
      <c r="A215" s="11" t="str">
        <f t="shared" si="3"/>
        <v>Coleman</v>
      </c>
      <c r="B215" s="11" t="s">
        <v>987</v>
      </c>
      <c r="C215" s="11" t="s">
        <v>988</v>
      </c>
    </row>
    <row r="216" spans="1:6" x14ac:dyDescent="0.35">
      <c r="A216" s="11" t="str">
        <f t="shared" si="3"/>
        <v>China</v>
      </c>
      <c r="B216" s="11" t="s">
        <v>989</v>
      </c>
      <c r="C216" s="11" t="s">
        <v>990</v>
      </c>
    </row>
    <row r="217" spans="1:6" x14ac:dyDescent="0.35">
      <c r="A217" s="11" t="str">
        <f t="shared" si="3"/>
        <v>Heeger</v>
      </c>
      <c r="B217" s="11" t="s">
        <v>991</v>
      </c>
      <c r="C217" s="11" t="s">
        <v>992</v>
      </c>
    </row>
    <row r="218" spans="1:6" x14ac:dyDescent="0.35">
      <c r="A218" s="11" t="str">
        <f t="shared" si="3"/>
        <v>Danforth</v>
      </c>
      <c r="B218" s="11" t="s">
        <v>993</v>
      </c>
      <c r="C218" s="11" t="s">
        <v>994</v>
      </c>
    </row>
    <row r="219" spans="1:6" x14ac:dyDescent="0.35">
      <c r="A219" s="11" t="str">
        <f t="shared" si="3"/>
        <v>Bloor</v>
      </c>
      <c r="B219" s="11" t="s">
        <v>995</v>
      </c>
      <c r="C219" s="11" t="s">
        <v>996</v>
      </c>
    </row>
    <row r="220" spans="1:6" x14ac:dyDescent="0.35">
      <c r="A220" s="11" t="str">
        <f t="shared" si="3"/>
        <v>Cline</v>
      </c>
      <c r="B220" s="11" t="s">
        <v>997</v>
      </c>
      <c r="C220" s="11" t="s">
        <v>998</v>
      </c>
    </row>
    <row r="221" spans="1:6" x14ac:dyDescent="0.35">
      <c r="A221" s="11" t="str">
        <f t="shared" si="3"/>
        <v>Gutman</v>
      </c>
      <c r="B221" s="11" t="s">
        <v>999</v>
      </c>
      <c r="C221" s="11" t="s">
        <v>1000</v>
      </c>
      <c r="D221" s="11" t="s">
        <v>1001</v>
      </c>
      <c r="E221" s="11" t="s">
        <v>1002</v>
      </c>
    </row>
    <row r="222" spans="1:6" x14ac:dyDescent="0.35">
      <c r="A222" s="11" t="str">
        <f t="shared" si="3"/>
        <v>Mikaelsen</v>
      </c>
      <c r="B222" s="11" t="s">
        <v>1003</v>
      </c>
      <c r="C222" s="11" t="s">
        <v>1004</v>
      </c>
      <c r="D222" s="11" t="s">
        <v>1005</v>
      </c>
      <c r="E222" s="11" t="s">
        <v>1006</v>
      </c>
      <c r="F222" s="11" t="s">
        <v>1007</v>
      </c>
    </row>
    <row r="223" spans="1:6" x14ac:dyDescent="0.35">
      <c r="A223" s="11" t="str">
        <f t="shared" si="3"/>
        <v>Estes</v>
      </c>
      <c r="B223" s="11" t="s">
        <v>1008</v>
      </c>
      <c r="C223" s="11" t="s">
        <v>1009</v>
      </c>
    </row>
    <row r="224" spans="1:6" x14ac:dyDescent="0.35">
      <c r="A224" s="11" t="str">
        <f t="shared" si="3"/>
        <v>Gaber</v>
      </c>
      <c r="B224" s="11" t="s">
        <v>1010</v>
      </c>
      <c r="C224" s="11" t="s">
        <v>1011</v>
      </c>
    </row>
    <row r="225" spans="1:6" x14ac:dyDescent="0.35">
      <c r="A225" s="11" t="str">
        <f t="shared" si="3"/>
        <v>Yolen</v>
      </c>
      <c r="B225" s="11" t="s">
        <v>1409</v>
      </c>
      <c r="C225" s="11" t="s">
        <v>1012</v>
      </c>
    </row>
    <row r="226" spans="1:6" x14ac:dyDescent="0.35">
      <c r="A226" s="11" t="str">
        <f t="shared" si="3"/>
        <v>Avi</v>
      </c>
      <c r="B226" s="11" t="s">
        <v>1013</v>
      </c>
      <c r="C226" s="11" t="s">
        <v>1014</v>
      </c>
      <c r="D226" s="11" t="s">
        <v>1015</v>
      </c>
      <c r="E226" s="11" t="s">
        <v>1016</v>
      </c>
      <c r="F226" s="11" t="s">
        <v>1727</v>
      </c>
    </row>
    <row r="227" spans="1:6" x14ac:dyDescent="0.35">
      <c r="A227" s="11" t="str">
        <f t="shared" si="3"/>
        <v>Sloate</v>
      </c>
      <c r="B227" s="11" t="s">
        <v>1017</v>
      </c>
      <c r="C227" s="11" t="s">
        <v>1018</v>
      </c>
    </row>
    <row r="228" spans="1:6" x14ac:dyDescent="0.35">
      <c r="A228" s="11" t="str">
        <f t="shared" si="3"/>
        <v>Coerr</v>
      </c>
      <c r="B228" s="11" t="s">
        <v>1019</v>
      </c>
      <c r="C228" s="11" t="s">
        <v>1020</v>
      </c>
    </row>
    <row r="229" spans="1:6" x14ac:dyDescent="0.35">
      <c r="A229" s="11" t="str">
        <f t="shared" si="3"/>
        <v>Bridges</v>
      </c>
      <c r="B229" s="11" t="s">
        <v>1021</v>
      </c>
      <c r="C229" s="11" t="s">
        <v>1022</v>
      </c>
    </row>
    <row r="230" spans="1:6" x14ac:dyDescent="0.35">
      <c r="A230" s="11" t="str">
        <f t="shared" si="3"/>
        <v>Shadrach</v>
      </c>
      <c r="B230" s="11" t="s">
        <v>1023</v>
      </c>
      <c r="C230" s="11" t="s">
        <v>1024</v>
      </c>
    </row>
    <row r="231" spans="1:6" x14ac:dyDescent="0.35">
      <c r="A231" s="11" t="str">
        <f t="shared" si="3"/>
        <v>Frazer</v>
      </c>
      <c r="B231" s="11" t="s">
        <v>1025</v>
      </c>
      <c r="C231" s="11" t="s">
        <v>1026</v>
      </c>
    </row>
    <row r="232" spans="1:6" x14ac:dyDescent="0.35">
      <c r="A232" s="11" t="str">
        <f t="shared" si="3"/>
        <v>Goodrich</v>
      </c>
      <c r="B232" s="11" t="s">
        <v>1464</v>
      </c>
      <c r="C232" s="11" t="s">
        <v>1465</v>
      </c>
    </row>
    <row r="233" spans="1:6" x14ac:dyDescent="0.35">
      <c r="A233" s="11" t="str">
        <f t="shared" si="3"/>
        <v>Bagnold</v>
      </c>
      <c r="B233" s="11" t="s">
        <v>1028</v>
      </c>
      <c r="C233" s="11" t="s">
        <v>1029</v>
      </c>
    </row>
    <row r="234" spans="1:6" x14ac:dyDescent="0.35">
      <c r="A234" s="11" t="str">
        <f t="shared" si="3"/>
        <v>Sakade</v>
      </c>
      <c r="B234" s="11" t="s">
        <v>1030</v>
      </c>
      <c r="C234" s="11" t="s">
        <v>1031</v>
      </c>
    </row>
    <row r="235" spans="1:6" x14ac:dyDescent="0.35">
      <c r="A235" s="11" t="str">
        <f t="shared" si="3"/>
        <v>Mills</v>
      </c>
      <c r="B235" s="11" t="s">
        <v>1032</v>
      </c>
      <c r="C235" s="11" t="s">
        <v>1033</v>
      </c>
    </row>
    <row r="236" spans="1:6" x14ac:dyDescent="0.35">
      <c r="A236" s="11" t="str">
        <f t="shared" si="3"/>
        <v>Murphy</v>
      </c>
      <c r="B236" s="11" t="s">
        <v>1034</v>
      </c>
      <c r="C236" s="11" t="s">
        <v>1035</v>
      </c>
      <c r="D236" s="11" t="s">
        <v>1036</v>
      </c>
    </row>
    <row r="237" spans="1:6" x14ac:dyDescent="0.35">
      <c r="A237" s="11" t="str">
        <f t="shared" si="3"/>
        <v>Leppard</v>
      </c>
      <c r="B237" s="11" t="s">
        <v>1037</v>
      </c>
      <c r="C237" s="11" t="s">
        <v>1038</v>
      </c>
    </row>
    <row r="238" spans="1:6" x14ac:dyDescent="0.35">
      <c r="A238" s="11" t="str">
        <f t="shared" si="3"/>
        <v>Lindgren</v>
      </c>
      <c r="B238" s="11" t="s">
        <v>1039</v>
      </c>
      <c r="C238" s="11" t="s">
        <v>1040</v>
      </c>
    </row>
    <row r="239" spans="1:6" x14ac:dyDescent="0.35">
      <c r="A239" s="11" t="str">
        <f t="shared" si="3"/>
        <v>Lewis</v>
      </c>
      <c r="B239" s="11" t="s">
        <v>1041</v>
      </c>
      <c r="C239" s="11" t="s">
        <v>1042</v>
      </c>
    </row>
    <row r="240" spans="1:6" x14ac:dyDescent="0.35">
      <c r="A240" s="11" t="str">
        <f t="shared" si="3"/>
        <v>Meader</v>
      </c>
      <c r="B240" s="11" t="s">
        <v>1043</v>
      </c>
      <c r="C240" s="11" t="s">
        <v>1044</v>
      </c>
    </row>
    <row r="241" spans="1:10" x14ac:dyDescent="0.35">
      <c r="A241" s="11" t="str">
        <f t="shared" si="3"/>
        <v>Woodruff</v>
      </c>
      <c r="B241" s="11" t="s">
        <v>1045</v>
      </c>
      <c r="C241" s="11" t="s">
        <v>1046</v>
      </c>
    </row>
    <row r="242" spans="1:10" x14ac:dyDescent="0.35">
      <c r="A242" s="11" t="str">
        <f t="shared" si="3"/>
        <v>Williams</v>
      </c>
      <c r="B242" s="11" t="s">
        <v>1047</v>
      </c>
      <c r="C242" s="11" t="s">
        <v>1048</v>
      </c>
    </row>
    <row r="243" spans="1:10" x14ac:dyDescent="0.35">
      <c r="A243" s="11" t="str">
        <f t="shared" si="3"/>
        <v>Robinet</v>
      </c>
      <c r="B243" s="11" t="s">
        <v>1049</v>
      </c>
      <c r="C243" s="11" t="s">
        <v>1050</v>
      </c>
    </row>
    <row r="244" spans="1:10" x14ac:dyDescent="0.35">
      <c r="A244" s="11" t="str">
        <f t="shared" si="3"/>
        <v>Wetering</v>
      </c>
      <c r="B244" s="11" t="s">
        <v>1051</v>
      </c>
      <c r="C244" s="11" t="s">
        <v>1052</v>
      </c>
    </row>
    <row r="245" spans="1:10" x14ac:dyDescent="0.35">
      <c r="A245" s="11" t="str">
        <f t="shared" si="3"/>
        <v>Jones</v>
      </c>
      <c r="B245" s="11" t="s">
        <v>1053</v>
      </c>
      <c r="C245" s="11" t="s">
        <v>1054</v>
      </c>
      <c r="D245" s="11" t="s">
        <v>1055</v>
      </c>
      <c r="E245" s="11" t="s">
        <v>1056</v>
      </c>
    </row>
    <row r="246" spans="1:10" x14ac:dyDescent="0.35">
      <c r="A246" s="11" t="str">
        <f t="shared" si="3"/>
        <v>Haywood</v>
      </c>
      <c r="B246" s="11" t="s">
        <v>1057</v>
      </c>
      <c r="C246" s="11" t="s">
        <v>1058</v>
      </c>
    </row>
    <row r="247" spans="1:10" x14ac:dyDescent="0.35">
      <c r="A247" s="11" t="str">
        <f t="shared" si="3"/>
        <v>Ure</v>
      </c>
      <c r="B247" s="11" t="s">
        <v>1059</v>
      </c>
      <c r="C247" s="11" t="s">
        <v>1060</v>
      </c>
    </row>
    <row r="248" spans="1:10" x14ac:dyDescent="0.35">
      <c r="A248" s="11" t="str">
        <f t="shared" si="3"/>
        <v>Uchida</v>
      </c>
      <c r="B248" s="11" t="s">
        <v>1061</v>
      </c>
      <c r="C248" s="11" t="s">
        <v>1062</v>
      </c>
    </row>
    <row r="249" spans="1:10" x14ac:dyDescent="0.35">
      <c r="A249" s="11" t="str">
        <f t="shared" si="3"/>
        <v>Lisle</v>
      </c>
      <c r="B249" s="11" t="s">
        <v>1063</v>
      </c>
      <c r="C249" s="11" t="s">
        <v>1064</v>
      </c>
    </row>
    <row r="250" spans="1:10" x14ac:dyDescent="0.35">
      <c r="A250" s="11" t="str">
        <f t="shared" si="3"/>
        <v>Giff</v>
      </c>
      <c r="B250" s="11" t="s">
        <v>1065</v>
      </c>
      <c r="C250" s="11" t="s">
        <v>1066</v>
      </c>
    </row>
    <row r="251" spans="1:10" x14ac:dyDescent="0.35">
      <c r="A251" s="11" t="str">
        <f t="shared" si="3"/>
        <v>Hiaasen</v>
      </c>
      <c r="B251" s="11" t="s">
        <v>1067</v>
      </c>
      <c r="C251" s="11" t="s">
        <v>1068</v>
      </c>
      <c r="D251" s="11" t="s">
        <v>1069</v>
      </c>
      <c r="E251" s="11" t="s">
        <v>1070</v>
      </c>
    </row>
    <row r="252" spans="1:10" x14ac:dyDescent="0.35">
      <c r="A252" s="11" t="str">
        <f t="shared" si="3"/>
        <v>Seely</v>
      </c>
      <c r="B252" s="11" t="s">
        <v>1071</v>
      </c>
      <c r="C252" s="11" t="s">
        <v>1072</v>
      </c>
    </row>
    <row r="253" spans="1:10" x14ac:dyDescent="0.35">
      <c r="A253" s="11" t="str">
        <f t="shared" si="3"/>
        <v>Schroder</v>
      </c>
      <c r="B253" s="11" t="s">
        <v>1073</v>
      </c>
      <c r="C253" s="11" t="s">
        <v>1666</v>
      </c>
    </row>
    <row r="254" spans="1:10" x14ac:dyDescent="0.35">
      <c r="A254" s="11" t="str">
        <f t="shared" si="3"/>
        <v>McGee</v>
      </c>
      <c r="B254" s="11" t="s">
        <v>1074</v>
      </c>
      <c r="C254" s="11" t="s">
        <v>1075</v>
      </c>
    </row>
    <row r="255" spans="1:10" x14ac:dyDescent="0.35">
      <c r="A255" s="11" t="str">
        <f t="shared" ref="A255:A318" si="4">TRIM(RIGHT(SUBSTITUTE(B255," ",REPT(" ",LEN(B255))),LEN(B255)))</f>
        <v>Angel</v>
      </c>
      <c r="B255" s="11" t="s">
        <v>1076</v>
      </c>
      <c r="C255" s="11" t="s">
        <v>1077</v>
      </c>
    </row>
    <row r="256" spans="1:10" x14ac:dyDescent="0.35">
      <c r="A256" s="11" t="str">
        <f t="shared" si="4"/>
        <v>Barron</v>
      </c>
      <c r="B256" s="11" t="s">
        <v>1078</v>
      </c>
      <c r="C256" s="11" t="s">
        <v>1079</v>
      </c>
      <c r="D256" s="11" t="s">
        <v>1080</v>
      </c>
      <c r="E256" s="11" t="s">
        <v>1081</v>
      </c>
      <c r="F256" s="11" t="s">
        <v>1082</v>
      </c>
      <c r="G256" s="11" t="s">
        <v>1083</v>
      </c>
      <c r="H256" s="11" t="s">
        <v>1084</v>
      </c>
      <c r="I256" s="11" t="s">
        <v>1085</v>
      </c>
      <c r="J256" s="11" t="s">
        <v>1086</v>
      </c>
    </row>
    <row r="257" spans="1:6" x14ac:dyDescent="0.35">
      <c r="A257" s="11" t="str">
        <f t="shared" si="4"/>
        <v>Keams</v>
      </c>
      <c r="B257" s="11" t="s">
        <v>1087</v>
      </c>
      <c r="C257" s="11" t="s">
        <v>1088</v>
      </c>
    </row>
    <row r="258" spans="1:6" x14ac:dyDescent="0.35">
      <c r="A258" s="11" t="str">
        <f t="shared" si="4"/>
        <v>Kilborne</v>
      </c>
      <c r="B258" s="11" t="s">
        <v>1089</v>
      </c>
      <c r="C258" s="11" t="s">
        <v>1090</v>
      </c>
    </row>
    <row r="259" spans="1:6" x14ac:dyDescent="0.35">
      <c r="A259" s="11" t="str">
        <f t="shared" si="4"/>
        <v>Jacob</v>
      </c>
      <c r="B259" s="11" t="s">
        <v>1091</v>
      </c>
      <c r="C259" s="11" t="s">
        <v>1092</v>
      </c>
    </row>
    <row r="260" spans="1:6" x14ac:dyDescent="0.35">
      <c r="A260" s="11" t="str">
        <f t="shared" si="4"/>
        <v>Vonnegut</v>
      </c>
      <c r="B260" s="11" t="s">
        <v>1093</v>
      </c>
      <c r="C260" s="11" t="s">
        <v>1094</v>
      </c>
      <c r="D260" s="11" t="s">
        <v>1736</v>
      </c>
    </row>
    <row r="261" spans="1:6" x14ac:dyDescent="0.35">
      <c r="A261" s="11" t="str">
        <f t="shared" si="4"/>
        <v>Selznick</v>
      </c>
      <c r="B261" s="11" t="s">
        <v>1095</v>
      </c>
      <c r="C261" s="11" t="s">
        <v>1096</v>
      </c>
      <c r="D261" s="11" t="s">
        <v>1097</v>
      </c>
    </row>
    <row r="262" spans="1:6" x14ac:dyDescent="0.35">
      <c r="A262" s="11" t="str">
        <f t="shared" si="4"/>
        <v>McNamee</v>
      </c>
      <c r="B262" s="11" t="s">
        <v>1098</v>
      </c>
      <c r="C262" s="11" t="s">
        <v>1099</v>
      </c>
      <c r="D262" s="11" t="s">
        <v>1100</v>
      </c>
      <c r="E262" s="11" t="s">
        <v>1101</v>
      </c>
    </row>
    <row r="263" spans="1:6" x14ac:dyDescent="0.35">
      <c r="A263" s="11" t="str">
        <f t="shared" si="4"/>
        <v>Canfield</v>
      </c>
      <c r="B263" s="11" t="s">
        <v>1102</v>
      </c>
      <c r="C263" s="11" t="s">
        <v>1103</v>
      </c>
    </row>
    <row r="264" spans="1:6" x14ac:dyDescent="0.35">
      <c r="A264" s="11" t="str">
        <f t="shared" si="4"/>
        <v>Durbin</v>
      </c>
      <c r="B264" s="11" t="s">
        <v>1104</v>
      </c>
      <c r="C264" s="11" t="s">
        <v>1105</v>
      </c>
    </row>
    <row r="265" spans="1:6" x14ac:dyDescent="0.35">
      <c r="A265" s="11" t="str">
        <f t="shared" si="4"/>
        <v>Wilson</v>
      </c>
      <c r="B265" s="11" t="s">
        <v>1106</v>
      </c>
      <c r="C265" s="11" t="s">
        <v>1107</v>
      </c>
      <c r="D265" s="11" t="s">
        <v>1108</v>
      </c>
      <c r="E265" s="11" t="s">
        <v>1109</v>
      </c>
    </row>
    <row r="266" spans="1:6" x14ac:dyDescent="0.35">
      <c r="A266" s="11" t="str">
        <f t="shared" si="4"/>
        <v>Smith</v>
      </c>
      <c r="B266" s="11" t="s">
        <v>1110</v>
      </c>
      <c r="C266" s="11" t="s">
        <v>1111</v>
      </c>
    </row>
    <row r="267" spans="1:6" x14ac:dyDescent="0.35">
      <c r="A267" s="11" t="str">
        <f t="shared" si="4"/>
        <v>Crossley-Holland</v>
      </c>
      <c r="B267" s="11" t="s">
        <v>1112</v>
      </c>
      <c r="C267" s="11" t="s">
        <v>1113</v>
      </c>
      <c r="D267" s="11" t="s">
        <v>1114</v>
      </c>
      <c r="E267" s="11" t="s">
        <v>1115</v>
      </c>
    </row>
    <row r="268" spans="1:6" x14ac:dyDescent="0.35">
      <c r="A268" s="11" t="str">
        <f t="shared" si="4"/>
        <v>Lore</v>
      </c>
      <c r="B268" s="11" t="s">
        <v>1116</v>
      </c>
      <c r="C268" s="11" t="s">
        <v>1117</v>
      </c>
      <c r="D268" s="11" t="s">
        <v>1118</v>
      </c>
      <c r="E268" s="11" t="s">
        <v>1119</v>
      </c>
      <c r="F268" s="11" t="s">
        <v>1120</v>
      </c>
    </row>
    <row r="269" spans="1:6" x14ac:dyDescent="0.35">
      <c r="A269" s="11" t="str">
        <f t="shared" si="4"/>
        <v>Reisman</v>
      </c>
      <c r="B269" s="11" t="s">
        <v>1121</v>
      </c>
      <c r="C269" s="11" t="s">
        <v>1122</v>
      </c>
      <c r="D269" s="11" t="s">
        <v>1123</v>
      </c>
    </row>
    <row r="270" spans="1:6" x14ac:dyDescent="0.35">
      <c r="A270" s="11" t="str">
        <f t="shared" si="4"/>
        <v>Shapiro</v>
      </c>
      <c r="B270" s="11" t="s">
        <v>1124</v>
      </c>
      <c r="C270" s="11" t="s">
        <v>1125</v>
      </c>
    </row>
    <row r="271" spans="1:6" x14ac:dyDescent="0.35">
      <c r="A271" s="11" t="str">
        <f t="shared" si="4"/>
        <v>Bulla</v>
      </c>
      <c r="B271" s="11" t="s">
        <v>1126</v>
      </c>
      <c r="C271" s="11" t="s">
        <v>1127</v>
      </c>
    </row>
    <row r="272" spans="1:6" x14ac:dyDescent="0.35">
      <c r="A272" s="11" t="str">
        <f t="shared" si="4"/>
        <v>Clarke</v>
      </c>
      <c r="B272" s="11" t="s">
        <v>1128</v>
      </c>
      <c r="C272" s="11" t="s">
        <v>1129</v>
      </c>
    </row>
    <row r="273" spans="1:9" x14ac:dyDescent="0.35">
      <c r="A273" s="11" t="str">
        <f t="shared" si="4"/>
        <v>Press</v>
      </c>
      <c r="B273" s="11" t="s">
        <v>1130</v>
      </c>
      <c r="C273" s="11" t="s">
        <v>1131</v>
      </c>
      <c r="D273" s="11" t="s">
        <v>1132</v>
      </c>
    </row>
    <row r="274" spans="1:9" x14ac:dyDescent="0.35">
      <c r="A274" s="11" t="str">
        <f t="shared" si="4"/>
        <v>White</v>
      </c>
      <c r="B274" s="11" t="s">
        <v>1451</v>
      </c>
      <c r="C274" s="11" t="s">
        <v>1452</v>
      </c>
    </row>
    <row r="275" spans="1:9" x14ac:dyDescent="0.35">
      <c r="A275" s="11" t="str">
        <f t="shared" si="4"/>
        <v>White</v>
      </c>
      <c r="B275" s="11" t="s">
        <v>1133</v>
      </c>
      <c r="C275" s="11" t="s">
        <v>1134</v>
      </c>
    </row>
    <row r="276" spans="1:9" x14ac:dyDescent="0.35">
      <c r="A276" s="11" t="str">
        <f t="shared" si="4"/>
        <v>Leeuwen</v>
      </c>
      <c r="B276" s="11" t="s">
        <v>1135</v>
      </c>
      <c r="C276" s="11" t="s">
        <v>1136</v>
      </c>
      <c r="D276" s="11" t="s">
        <v>1137</v>
      </c>
    </row>
    <row r="277" spans="1:9" x14ac:dyDescent="0.35">
      <c r="A277" s="11" t="str">
        <f t="shared" si="4"/>
        <v>Edwards</v>
      </c>
      <c r="B277" s="11" t="s">
        <v>1138</v>
      </c>
      <c r="C277" s="11" t="s">
        <v>1139</v>
      </c>
    </row>
    <row r="278" spans="1:9" x14ac:dyDescent="0.35">
      <c r="A278" s="11" t="str">
        <f t="shared" si="4"/>
        <v>Ahearn</v>
      </c>
      <c r="B278" s="11" t="s">
        <v>1140</v>
      </c>
      <c r="C278" s="11" t="s">
        <v>1141</v>
      </c>
    </row>
    <row r="279" spans="1:9" x14ac:dyDescent="0.35">
      <c r="A279" s="11" t="str">
        <f t="shared" si="4"/>
        <v>Wecker</v>
      </c>
      <c r="B279" s="11" t="s">
        <v>1142</v>
      </c>
      <c r="C279" s="11" t="s">
        <v>1143</v>
      </c>
    </row>
    <row r="280" spans="1:9" x14ac:dyDescent="0.35">
      <c r="A280" s="11" t="str">
        <f t="shared" si="4"/>
        <v>Cole</v>
      </c>
      <c r="B280" s="11" t="s">
        <v>1144</v>
      </c>
      <c r="C280" s="11" t="s">
        <v>1145</v>
      </c>
    </row>
    <row r="281" spans="1:9" x14ac:dyDescent="0.35">
      <c r="A281" s="11" t="str">
        <f t="shared" si="4"/>
        <v>Lewis</v>
      </c>
      <c r="B281" s="11" t="s">
        <v>1146</v>
      </c>
      <c r="C281" s="11" t="s">
        <v>1147</v>
      </c>
      <c r="D281" s="11" t="s">
        <v>1148</v>
      </c>
      <c r="E281" s="11" t="s">
        <v>1149</v>
      </c>
    </row>
    <row r="282" spans="1:9" x14ac:dyDescent="0.35">
      <c r="A282" s="11" t="str">
        <f t="shared" si="4"/>
        <v>Lawhead</v>
      </c>
      <c r="B282" s="11" t="s">
        <v>1150</v>
      </c>
      <c r="C282" s="11" t="s">
        <v>1151</v>
      </c>
      <c r="D282" s="11" t="s">
        <v>1152</v>
      </c>
      <c r="E282" s="11" t="s">
        <v>1153</v>
      </c>
    </row>
    <row r="283" spans="1:9" x14ac:dyDescent="0.35">
      <c r="A283" s="11" t="str">
        <f t="shared" si="4"/>
        <v>Hardinge</v>
      </c>
      <c r="B283" s="11" t="s">
        <v>1154</v>
      </c>
      <c r="C283" s="11" t="s">
        <v>1155</v>
      </c>
    </row>
    <row r="284" spans="1:9" x14ac:dyDescent="0.35">
      <c r="A284" s="11" t="str">
        <f t="shared" si="4"/>
        <v>Frost</v>
      </c>
      <c r="B284" s="11" t="s">
        <v>1156</v>
      </c>
      <c r="C284" s="11" t="s">
        <v>1157</v>
      </c>
      <c r="D284" s="11" t="s">
        <v>784</v>
      </c>
      <c r="E284" s="11" t="s">
        <v>1158</v>
      </c>
    </row>
    <row r="285" spans="1:9" x14ac:dyDescent="0.35">
      <c r="A285" s="11" t="str">
        <f t="shared" si="4"/>
        <v>Freeman</v>
      </c>
      <c r="B285" s="11" t="s">
        <v>1159</v>
      </c>
      <c r="C285" s="11" t="s">
        <v>1160</v>
      </c>
    </row>
    <row r="286" spans="1:9" x14ac:dyDescent="0.35">
      <c r="A286" s="11" t="str">
        <f t="shared" si="4"/>
        <v>Oppel</v>
      </c>
      <c r="B286" s="11" t="s">
        <v>1161</v>
      </c>
      <c r="C286" s="11" t="s">
        <v>1162</v>
      </c>
      <c r="D286" s="11" t="s">
        <v>1163</v>
      </c>
      <c r="E286" s="11" t="s">
        <v>1164</v>
      </c>
      <c r="F286" s="11" t="s">
        <v>1165</v>
      </c>
      <c r="G286" s="11" t="s">
        <v>1166</v>
      </c>
      <c r="H286" s="11" t="s">
        <v>1167</v>
      </c>
      <c r="I286" s="11" t="s">
        <v>1168</v>
      </c>
    </row>
    <row r="287" spans="1:9" x14ac:dyDescent="0.35">
      <c r="A287" s="11" t="str">
        <f t="shared" si="4"/>
        <v>Stone</v>
      </c>
      <c r="B287" s="11" t="s">
        <v>1169</v>
      </c>
      <c r="C287" s="11" t="s">
        <v>1170</v>
      </c>
      <c r="D287" s="11" t="s">
        <v>1171</v>
      </c>
      <c r="E287" s="11" t="s">
        <v>1172</v>
      </c>
      <c r="F287" s="11" t="s">
        <v>1173</v>
      </c>
      <c r="G287" s="11" t="s">
        <v>1174</v>
      </c>
      <c r="H287" s="11" t="s">
        <v>1175</v>
      </c>
    </row>
    <row r="288" spans="1:9" x14ac:dyDescent="0.35">
      <c r="A288" s="11" t="str">
        <f t="shared" si="4"/>
        <v>Stroud</v>
      </c>
      <c r="B288" s="11" t="s">
        <v>1176</v>
      </c>
      <c r="C288" s="11" t="s">
        <v>1177</v>
      </c>
      <c r="D288" s="11" t="s">
        <v>1178</v>
      </c>
      <c r="E288" s="11" t="s">
        <v>1179</v>
      </c>
    </row>
    <row r="289" spans="1:9" x14ac:dyDescent="0.35">
      <c r="A289" s="11" t="str">
        <f t="shared" si="4"/>
        <v>Pyle</v>
      </c>
      <c r="B289" s="11" t="s">
        <v>1180</v>
      </c>
      <c r="C289" s="11" t="s">
        <v>1181</v>
      </c>
    </row>
    <row r="290" spans="1:9" x14ac:dyDescent="0.35">
      <c r="A290" s="11" t="str">
        <f t="shared" si="4"/>
        <v>Monaghan</v>
      </c>
      <c r="B290" s="11" t="s">
        <v>1182</v>
      </c>
      <c r="C290" s="11" t="s">
        <v>1183</v>
      </c>
    </row>
    <row r="291" spans="1:9" x14ac:dyDescent="0.35">
      <c r="A291" s="11" t="str">
        <f t="shared" si="4"/>
        <v>Groom</v>
      </c>
      <c r="B291" s="11" t="s">
        <v>1184</v>
      </c>
      <c r="C291" s="11" t="s">
        <v>1185</v>
      </c>
    </row>
    <row r="292" spans="1:9" x14ac:dyDescent="0.35">
      <c r="A292" s="11" t="str">
        <f t="shared" si="4"/>
        <v>Kessler</v>
      </c>
      <c r="B292" s="11" t="s">
        <v>1186</v>
      </c>
      <c r="C292" s="11" t="s">
        <v>1187</v>
      </c>
      <c r="D292" s="11" t="s">
        <v>1188</v>
      </c>
      <c r="E292" s="11" t="s">
        <v>1189</v>
      </c>
    </row>
    <row r="293" spans="1:9" x14ac:dyDescent="0.35">
      <c r="A293" s="11" t="str">
        <f t="shared" si="4"/>
        <v>Prineas</v>
      </c>
      <c r="B293" s="11" t="s">
        <v>1190</v>
      </c>
      <c r="C293" s="11" t="s">
        <v>1191</v>
      </c>
      <c r="D293" s="11" t="s">
        <v>1192</v>
      </c>
      <c r="E293" s="11" t="s">
        <v>148</v>
      </c>
    </row>
    <row r="294" spans="1:9" x14ac:dyDescent="0.35">
      <c r="A294" s="11" t="str">
        <f t="shared" si="4"/>
        <v>Pelzer</v>
      </c>
      <c r="B294" s="11" t="s">
        <v>1193</v>
      </c>
      <c r="C294" s="11" t="s">
        <v>1194</v>
      </c>
    </row>
    <row r="295" spans="1:9" x14ac:dyDescent="0.35">
      <c r="A295" s="11" t="str">
        <f t="shared" si="4"/>
        <v>Newman</v>
      </c>
      <c r="B295" s="11" t="s">
        <v>1195</v>
      </c>
      <c r="C295" s="11" t="s">
        <v>1196</v>
      </c>
    </row>
    <row r="296" spans="1:9" x14ac:dyDescent="0.35">
      <c r="A296" s="11" t="str">
        <f t="shared" si="4"/>
        <v>Mukerji</v>
      </c>
      <c r="B296" s="11" t="s">
        <v>1197</v>
      </c>
      <c r="C296" s="11" t="s">
        <v>1198</v>
      </c>
    </row>
    <row r="297" spans="1:9" x14ac:dyDescent="0.35">
      <c r="A297" s="11" t="str">
        <f t="shared" si="4"/>
        <v>Naylor</v>
      </c>
      <c r="B297" s="11" t="s">
        <v>1199</v>
      </c>
      <c r="C297" s="11" t="s">
        <v>1200</v>
      </c>
      <c r="D297" s="11" t="s">
        <v>1201</v>
      </c>
      <c r="E297" s="11" t="s">
        <v>1202</v>
      </c>
    </row>
    <row r="298" spans="1:9" x14ac:dyDescent="0.35">
      <c r="A298" s="11" t="str">
        <f t="shared" si="4"/>
        <v>Kerr</v>
      </c>
      <c r="B298" s="11" t="s">
        <v>1203</v>
      </c>
      <c r="C298" s="11" t="s">
        <v>1204</v>
      </c>
      <c r="D298" s="11" t="s">
        <v>1205</v>
      </c>
      <c r="E298" s="11" t="s">
        <v>1206</v>
      </c>
      <c r="F298" s="11" t="s">
        <v>1207</v>
      </c>
      <c r="G298" s="11" t="s">
        <v>1208</v>
      </c>
      <c r="H298" s="11" t="s">
        <v>1209</v>
      </c>
    </row>
    <row r="299" spans="1:9" x14ac:dyDescent="0.35">
      <c r="A299" s="11" t="str">
        <f t="shared" si="4"/>
        <v>Hannigan</v>
      </c>
      <c r="B299" s="11" t="s">
        <v>1210</v>
      </c>
      <c r="C299" s="11" t="s">
        <v>1211</v>
      </c>
    </row>
    <row r="300" spans="1:9" x14ac:dyDescent="0.35">
      <c r="A300" s="11" t="str">
        <f t="shared" si="4"/>
        <v>Fan</v>
      </c>
      <c r="B300" s="11" t="s">
        <v>1212</v>
      </c>
      <c r="C300" s="11" t="s">
        <v>1213</v>
      </c>
      <c r="D300" s="11" t="s">
        <v>1214</v>
      </c>
    </row>
    <row r="301" spans="1:9" x14ac:dyDescent="0.35">
      <c r="A301" s="11" t="str">
        <f t="shared" si="4"/>
        <v>Blume</v>
      </c>
      <c r="B301" s="11" t="s">
        <v>1215</v>
      </c>
      <c r="C301" s="11" t="s">
        <v>1216</v>
      </c>
      <c r="D301" s="11" t="s">
        <v>1217</v>
      </c>
      <c r="E301" s="11" t="s">
        <v>1218</v>
      </c>
      <c r="F301" s="11" t="s">
        <v>1219</v>
      </c>
      <c r="G301" s="11" t="s">
        <v>1220</v>
      </c>
      <c r="H301" s="11" t="s">
        <v>1221</v>
      </c>
      <c r="I301" s="11" t="s">
        <v>1222</v>
      </c>
    </row>
    <row r="302" spans="1:9" x14ac:dyDescent="0.35">
      <c r="A302" s="11" t="str">
        <f t="shared" si="4"/>
        <v>Birdsall</v>
      </c>
      <c r="B302" s="11" t="s">
        <v>1223</v>
      </c>
      <c r="C302" s="11" t="s">
        <v>1224</v>
      </c>
    </row>
    <row r="303" spans="1:9" x14ac:dyDescent="0.35">
      <c r="A303" s="11" t="str">
        <f t="shared" si="4"/>
        <v>Wood</v>
      </c>
      <c r="B303" s="11" t="s">
        <v>1225</v>
      </c>
      <c r="C303" s="11" t="s">
        <v>1226</v>
      </c>
    </row>
    <row r="304" spans="1:9" x14ac:dyDescent="0.35">
      <c r="A304" s="11" t="str">
        <f t="shared" si="4"/>
        <v>Peck </v>
      </c>
      <c r="B304" s="11" t="s">
        <v>1227</v>
      </c>
      <c r="C304" s="11" t="s">
        <v>1228</v>
      </c>
    </row>
    <row r="305" spans="1:61" x14ac:dyDescent="0.35">
      <c r="A305" s="11" t="str">
        <f t="shared" si="4"/>
        <v>Zimmer</v>
      </c>
      <c r="B305" s="11" t="s">
        <v>1229</v>
      </c>
      <c r="C305" s="11" t="s">
        <v>1230</v>
      </c>
    </row>
    <row r="306" spans="1:61" x14ac:dyDescent="0.35">
      <c r="A306" s="11" t="str">
        <f t="shared" si="4"/>
        <v>Wilkins</v>
      </c>
      <c r="B306" s="11" t="s">
        <v>1231</v>
      </c>
      <c r="C306" s="11" t="s">
        <v>1232</v>
      </c>
      <c r="D306" s="11" t="s">
        <v>1233</v>
      </c>
    </row>
    <row r="307" spans="1:61" ht="15" customHeight="1" x14ac:dyDescent="0.35">
      <c r="A307" s="11" t="str">
        <f t="shared" si="4"/>
        <v>Warner</v>
      </c>
      <c r="B307" s="11" t="s">
        <v>1234</v>
      </c>
      <c r="C307" s="11" t="s">
        <v>1235</v>
      </c>
      <c r="D307" s="11" t="s">
        <v>1236</v>
      </c>
      <c r="E307" s="11" t="s">
        <v>1237</v>
      </c>
      <c r="F307" s="11" t="s">
        <v>1238</v>
      </c>
      <c r="G307" s="11" t="s">
        <v>1239</v>
      </c>
      <c r="H307" s="11" t="s">
        <v>1240</v>
      </c>
      <c r="I307" s="11" t="s">
        <v>1241</v>
      </c>
      <c r="J307" s="11" t="s">
        <v>1242</v>
      </c>
      <c r="K307" s="11" t="s">
        <v>1243</v>
      </c>
      <c r="L307" s="11" t="s">
        <v>1244</v>
      </c>
      <c r="M307" s="11" t="s">
        <v>1245</v>
      </c>
      <c r="N307" s="11" t="s">
        <v>1246</v>
      </c>
      <c r="O307" s="11" t="s">
        <v>1247</v>
      </c>
      <c r="P307" s="11" t="s">
        <v>1248</v>
      </c>
      <c r="Q307" s="11" t="s">
        <v>1249</v>
      </c>
      <c r="R307" s="11" t="s">
        <v>1250</v>
      </c>
      <c r="S307" s="11" t="s">
        <v>1251</v>
      </c>
      <c r="T307" s="11" t="s">
        <v>1252</v>
      </c>
      <c r="U307" s="11" t="s">
        <v>1253</v>
      </c>
      <c r="V307" s="11" t="s">
        <v>1254</v>
      </c>
      <c r="W307" s="11" t="s">
        <v>1255</v>
      </c>
      <c r="X307" s="11" t="s">
        <v>1256</v>
      </c>
      <c r="Y307" s="11" t="s">
        <v>1257</v>
      </c>
      <c r="Z307" s="11" t="s">
        <v>1258</v>
      </c>
      <c r="AA307" s="11" t="s">
        <v>1259</v>
      </c>
      <c r="AB307" s="11" t="s">
        <v>1260</v>
      </c>
      <c r="AC307" s="11" t="s">
        <v>1261</v>
      </c>
      <c r="AD307" s="11" t="s">
        <v>1262</v>
      </c>
      <c r="AE307" s="11" t="s">
        <v>1263</v>
      </c>
      <c r="AF307" s="11" t="s">
        <v>1264</v>
      </c>
      <c r="AG307" s="11" t="s">
        <v>1265</v>
      </c>
      <c r="AH307" s="11" t="s">
        <v>1266</v>
      </c>
      <c r="AI307" s="11" t="s">
        <v>1267</v>
      </c>
      <c r="AJ307" s="11" t="s">
        <v>1268</v>
      </c>
      <c r="AK307" s="11" t="s">
        <v>1269</v>
      </c>
      <c r="AL307" s="11" t="s">
        <v>1270</v>
      </c>
      <c r="AM307" s="11" t="s">
        <v>1271</v>
      </c>
      <c r="AN307" s="11" t="s">
        <v>1272</v>
      </c>
      <c r="AO307" s="11" t="s">
        <v>1273</v>
      </c>
      <c r="AP307" s="11" t="s">
        <v>1274</v>
      </c>
      <c r="AQ307" s="11" t="s">
        <v>1275</v>
      </c>
      <c r="AR307" s="11" t="s">
        <v>1276</v>
      </c>
      <c r="AS307" s="11" t="s">
        <v>1277</v>
      </c>
      <c r="AT307" s="11" t="s">
        <v>1278</v>
      </c>
      <c r="AU307" s="11" t="s">
        <v>1279</v>
      </c>
      <c r="AV307" s="11" t="s">
        <v>1280</v>
      </c>
      <c r="AW307" s="11" t="s">
        <v>1281</v>
      </c>
      <c r="AX307" s="11" t="s">
        <v>1282</v>
      </c>
      <c r="AY307" s="11" t="s">
        <v>1283</v>
      </c>
      <c r="AZ307" s="11" t="s">
        <v>1284</v>
      </c>
      <c r="BA307" s="11" t="s">
        <v>1285</v>
      </c>
      <c r="BB307" s="11" t="s">
        <v>1286</v>
      </c>
      <c r="BC307" s="11" t="s">
        <v>1287</v>
      </c>
      <c r="BD307" s="11" t="s">
        <v>1288</v>
      </c>
      <c r="BE307" s="11" t="s">
        <v>1289</v>
      </c>
      <c r="BF307" s="11" t="s">
        <v>1290</v>
      </c>
      <c r="BG307" s="11" t="s">
        <v>1291</v>
      </c>
      <c r="BH307" s="11" t="s">
        <v>1292</v>
      </c>
      <c r="BI307" s="11" t="s">
        <v>1293</v>
      </c>
    </row>
    <row r="308" spans="1:61" x14ac:dyDescent="0.35">
      <c r="A308" s="11" t="str">
        <f t="shared" si="4"/>
        <v>Hunter</v>
      </c>
      <c r="B308" s="11" t="s">
        <v>1294</v>
      </c>
      <c r="C308" s="11" t="s">
        <v>1295</v>
      </c>
      <c r="D308" s="11" t="s">
        <v>1296</v>
      </c>
      <c r="E308" s="11" t="s">
        <v>1297</v>
      </c>
      <c r="F308" s="11" t="s">
        <v>1298</v>
      </c>
      <c r="G308" s="11" t="s">
        <v>1299</v>
      </c>
      <c r="H308" s="11" t="s">
        <v>1300</v>
      </c>
      <c r="I308" s="11" t="s">
        <v>1301</v>
      </c>
      <c r="J308" s="11" t="s">
        <v>1302</v>
      </c>
      <c r="K308" s="11" t="s">
        <v>1303</v>
      </c>
      <c r="L308" s="11" t="s">
        <v>1304</v>
      </c>
      <c r="M308" s="11" t="s">
        <v>1305</v>
      </c>
      <c r="N308" s="11" t="s">
        <v>1306</v>
      </c>
      <c r="O308" s="11" t="s">
        <v>1307</v>
      </c>
      <c r="P308" s="11" t="s">
        <v>1308</v>
      </c>
      <c r="Q308" s="11" t="s">
        <v>1309</v>
      </c>
      <c r="R308" s="11" t="s">
        <v>1310</v>
      </c>
      <c r="S308" s="11" t="s">
        <v>1311</v>
      </c>
      <c r="T308" s="11" t="s">
        <v>1312</v>
      </c>
      <c r="U308" s="11" t="s">
        <v>1313</v>
      </c>
      <c r="V308" s="11" t="s">
        <v>1314</v>
      </c>
      <c r="W308" s="11" t="s">
        <v>1315</v>
      </c>
      <c r="X308" s="11" t="s">
        <v>1316</v>
      </c>
      <c r="Y308" s="11" t="s">
        <v>1317</v>
      </c>
      <c r="Z308" s="11" t="s">
        <v>1318</v>
      </c>
      <c r="AA308" s="11" t="s">
        <v>1319</v>
      </c>
      <c r="AB308" s="11" t="s">
        <v>1320</v>
      </c>
      <c r="AC308" s="11" t="s">
        <v>1321</v>
      </c>
      <c r="AD308" s="11" t="s">
        <v>1322</v>
      </c>
      <c r="AE308" s="11" t="s">
        <v>1323</v>
      </c>
      <c r="AF308" s="11" t="s">
        <v>1324</v>
      </c>
      <c r="AG308" s="11" t="s">
        <v>1325</v>
      </c>
      <c r="AH308" s="11" t="s">
        <v>1326</v>
      </c>
      <c r="AI308" s="11" t="s">
        <v>1327</v>
      </c>
      <c r="AJ308" s="11" t="s">
        <v>1328</v>
      </c>
    </row>
    <row r="309" spans="1:61" x14ac:dyDescent="0.35">
      <c r="A309" s="11" t="str">
        <f t="shared" si="4"/>
        <v>Kwan</v>
      </c>
      <c r="B309" s="11" t="s">
        <v>1329</v>
      </c>
      <c r="C309" s="11" t="s">
        <v>1330</v>
      </c>
      <c r="D309" s="11" t="s">
        <v>1331</v>
      </c>
      <c r="E309" s="11" t="s">
        <v>1332</v>
      </c>
    </row>
    <row r="310" spans="1:61" x14ac:dyDescent="0.35">
      <c r="A310" s="11" t="str">
        <f t="shared" si="4"/>
        <v>Chernow</v>
      </c>
      <c r="B310" s="11" t="s">
        <v>1333</v>
      </c>
      <c r="C310" s="11" t="s">
        <v>1334</v>
      </c>
      <c r="D310" s="11" t="s">
        <v>1448</v>
      </c>
    </row>
    <row r="311" spans="1:61" x14ac:dyDescent="0.35">
      <c r="A311" s="11" t="str">
        <f t="shared" si="4"/>
        <v>White</v>
      </c>
      <c r="B311" s="11" t="s">
        <v>1335</v>
      </c>
      <c r="C311" s="11" t="s">
        <v>1336</v>
      </c>
    </row>
    <row r="312" spans="1:61" x14ac:dyDescent="0.35">
      <c r="A312" s="11" t="str">
        <f t="shared" si="4"/>
        <v>Stockett</v>
      </c>
      <c r="B312" s="11" t="s">
        <v>1337</v>
      </c>
      <c r="C312" s="11" t="s">
        <v>1338</v>
      </c>
    </row>
    <row r="313" spans="1:61" x14ac:dyDescent="0.35">
      <c r="A313" s="11" t="str">
        <f t="shared" si="4"/>
        <v>Millard</v>
      </c>
      <c r="B313" s="11" t="s">
        <v>1339</v>
      </c>
      <c r="C313" s="11" t="s">
        <v>1340</v>
      </c>
    </row>
    <row r="314" spans="1:61" x14ac:dyDescent="0.35">
      <c r="A314" s="11" t="str">
        <f t="shared" si="4"/>
        <v>Larson</v>
      </c>
      <c r="B314" s="11" t="s">
        <v>1341</v>
      </c>
      <c r="C314" s="11" t="s">
        <v>1342</v>
      </c>
    </row>
    <row r="315" spans="1:61" x14ac:dyDescent="0.35">
      <c r="A315" s="11" t="str">
        <f t="shared" si="4"/>
        <v>Goldman</v>
      </c>
      <c r="B315" s="11" t="s">
        <v>1343</v>
      </c>
      <c r="C315" s="11" t="s">
        <v>1344</v>
      </c>
    </row>
    <row r="316" spans="1:61" x14ac:dyDescent="0.35">
      <c r="A316" s="11" t="str">
        <f t="shared" si="4"/>
        <v>Gage</v>
      </c>
      <c r="B316" s="11" t="s">
        <v>1345</v>
      </c>
      <c r="C316" s="11" t="s">
        <v>1346</v>
      </c>
    </row>
    <row r="317" spans="1:61" x14ac:dyDescent="0.35">
      <c r="A317" s="11" t="str">
        <f t="shared" si="4"/>
        <v>Juster</v>
      </c>
      <c r="B317" s="11" t="s">
        <v>1347</v>
      </c>
      <c r="C317" s="11" t="s">
        <v>1348</v>
      </c>
    </row>
    <row r="318" spans="1:61" x14ac:dyDescent="0.35">
      <c r="A318" s="11" t="str">
        <f t="shared" si="4"/>
        <v>Jordan</v>
      </c>
      <c r="B318" s="11" t="s">
        <v>1349</v>
      </c>
      <c r="C318" s="11" t="s">
        <v>1350</v>
      </c>
    </row>
    <row r="319" spans="1:61" x14ac:dyDescent="0.35">
      <c r="A319" s="11" t="str">
        <f t="shared" ref="A319:A381" si="5">TRIM(RIGHT(SUBSTITUTE(B319," ",REPT(" ",LEN(B319))),LEN(B319)))</f>
        <v>Rinaldi</v>
      </c>
      <c r="B319" s="11" t="s">
        <v>1351</v>
      </c>
      <c r="C319" s="11" t="s">
        <v>1352</v>
      </c>
    </row>
    <row r="320" spans="1:61" x14ac:dyDescent="0.35">
      <c r="A320" s="11" t="str">
        <f t="shared" si="5"/>
        <v>Atwater</v>
      </c>
      <c r="B320" s="11" t="s">
        <v>1353</v>
      </c>
      <c r="C320" s="11" t="s">
        <v>1354</v>
      </c>
    </row>
    <row r="321" spans="1:6" x14ac:dyDescent="0.35">
      <c r="A321" s="11" t="str">
        <f t="shared" si="5"/>
        <v>Fleischman</v>
      </c>
      <c r="B321" s="11" t="s">
        <v>1355</v>
      </c>
      <c r="C321" s="11" t="s">
        <v>1356</v>
      </c>
    </row>
    <row r="322" spans="1:6" x14ac:dyDescent="0.35">
      <c r="A322" s="11" t="str">
        <f t="shared" si="5"/>
        <v>Layman</v>
      </c>
      <c r="B322" s="11" t="s">
        <v>1357</v>
      </c>
      <c r="C322" s="11" t="s">
        <v>1358</v>
      </c>
    </row>
    <row r="323" spans="1:6" x14ac:dyDescent="0.35">
      <c r="A323" s="11" t="str">
        <f t="shared" si="5"/>
        <v>Cronon</v>
      </c>
      <c r="B323" s="11" t="s">
        <v>1359</v>
      </c>
      <c r="C323" s="11" t="s">
        <v>1360</v>
      </c>
    </row>
    <row r="324" spans="1:6" x14ac:dyDescent="0.35">
      <c r="A324" s="11" t="str">
        <f t="shared" si="5"/>
        <v>Auyero</v>
      </c>
      <c r="B324" s="11" t="s">
        <v>1361</v>
      </c>
      <c r="C324" s="11" t="s">
        <v>1362</v>
      </c>
    </row>
    <row r="325" spans="1:6" x14ac:dyDescent="0.35">
      <c r="A325" s="11" t="str">
        <f t="shared" si="5"/>
        <v>Potter</v>
      </c>
      <c r="B325" s="11" t="s">
        <v>1363</v>
      </c>
      <c r="C325" s="11" t="s">
        <v>1364</v>
      </c>
    </row>
    <row r="326" spans="1:6" x14ac:dyDescent="0.35">
      <c r="A326" s="11" t="str">
        <f t="shared" si="5"/>
        <v>Craig</v>
      </c>
      <c r="B326" s="11" t="s">
        <v>1365</v>
      </c>
      <c r="C326" s="11" t="s">
        <v>1366</v>
      </c>
    </row>
    <row r="327" spans="1:6" x14ac:dyDescent="0.35">
      <c r="A327" s="11" t="str">
        <f t="shared" si="5"/>
        <v>Kater</v>
      </c>
      <c r="B327" s="11" t="s">
        <v>1367</v>
      </c>
      <c r="C327" s="11" t="s">
        <v>1368</v>
      </c>
    </row>
    <row r="328" spans="1:6" x14ac:dyDescent="0.35">
      <c r="A328" s="11" t="str">
        <f t="shared" si="5"/>
        <v>Oettinger</v>
      </c>
      <c r="B328" s="11" t="s">
        <v>1369</v>
      </c>
      <c r="C328" s="11" t="s">
        <v>1370</v>
      </c>
    </row>
    <row r="329" spans="1:6" x14ac:dyDescent="0.35">
      <c r="A329" s="11" t="str">
        <f t="shared" si="5"/>
        <v>Schutt</v>
      </c>
      <c r="B329" s="11" t="s">
        <v>1371</v>
      </c>
      <c r="C329" s="11" t="s">
        <v>1372</v>
      </c>
    </row>
    <row r="330" spans="1:6" x14ac:dyDescent="0.35">
      <c r="A330" s="11" t="str">
        <f t="shared" si="5"/>
        <v>Shakespeare</v>
      </c>
      <c r="B330" s="11" t="s">
        <v>1373</v>
      </c>
      <c r="C330" s="11" t="s">
        <v>947</v>
      </c>
      <c r="D330" s="11" t="s">
        <v>948</v>
      </c>
      <c r="E330" s="11" t="s">
        <v>1374</v>
      </c>
      <c r="F330" s="11" t="s">
        <v>949</v>
      </c>
    </row>
    <row r="331" spans="1:6" x14ac:dyDescent="0.35">
      <c r="A331" s="11" t="str">
        <f t="shared" si="5"/>
        <v>Merrill</v>
      </c>
      <c r="B331" s="11" t="s">
        <v>1375</v>
      </c>
      <c r="C331" s="11" t="s">
        <v>1376</v>
      </c>
    </row>
    <row r="332" spans="1:6" x14ac:dyDescent="0.35">
      <c r="A332" s="11" t="str">
        <f t="shared" si="5"/>
        <v>Blight</v>
      </c>
      <c r="B332" s="11" t="s">
        <v>1377</v>
      </c>
      <c r="C332" s="11" t="s">
        <v>1378</v>
      </c>
    </row>
    <row r="333" spans="1:6" x14ac:dyDescent="0.35">
      <c r="A333" s="11" t="str">
        <f t="shared" si="5"/>
        <v>Jay</v>
      </c>
      <c r="B333" s="11" t="s">
        <v>1379</v>
      </c>
      <c r="C333" s="11" t="s">
        <v>1380</v>
      </c>
    </row>
    <row r="334" spans="1:6" x14ac:dyDescent="0.35">
      <c r="A334" s="11" t="str">
        <f t="shared" si="5"/>
        <v>Pyle</v>
      </c>
      <c r="B334" s="11" t="s">
        <v>1381</v>
      </c>
      <c r="C334" s="11" t="s">
        <v>1382</v>
      </c>
    </row>
    <row r="335" spans="1:6" x14ac:dyDescent="0.35">
      <c r="A335" s="11" t="str">
        <f t="shared" si="5"/>
        <v>Beah</v>
      </c>
      <c r="B335" s="11" t="s">
        <v>1383</v>
      </c>
      <c r="C335" s="11" t="s">
        <v>1384</v>
      </c>
    </row>
    <row r="336" spans="1:6" x14ac:dyDescent="0.35">
      <c r="A336" s="11" t="str">
        <f t="shared" si="5"/>
        <v>Benaron</v>
      </c>
      <c r="B336" s="11" t="s">
        <v>1385</v>
      </c>
      <c r="C336" s="11" t="s">
        <v>1386</v>
      </c>
    </row>
    <row r="337" spans="1:7" x14ac:dyDescent="0.35">
      <c r="A337" s="11" t="str">
        <f t="shared" si="5"/>
        <v>Mann</v>
      </c>
      <c r="B337" s="11" t="s">
        <v>1387</v>
      </c>
      <c r="C337" s="11" t="s">
        <v>1388</v>
      </c>
    </row>
    <row r="338" spans="1:7" x14ac:dyDescent="0.35">
      <c r="A338" s="11" t="str">
        <f t="shared" si="5"/>
        <v>Brecht</v>
      </c>
      <c r="B338" s="11" t="s">
        <v>1389</v>
      </c>
      <c r="C338" s="11" t="s">
        <v>1390</v>
      </c>
      <c r="D338" s="11" t="s">
        <v>1445</v>
      </c>
    </row>
    <row r="339" spans="1:7" x14ac:dyDescent="0.35">
      <c r="A339" s="11" t="str">
        <f t="shared" si="5"/>
        <v>Tieck</v>
      </c>
      <c r="B339" s="11" t="s">
        <v>1393</v>
      </c>
      <c r="C339" s="11" t="s">
        <v>1394</v>
      </c>
    </row>
    <row r="340" spans="1:7" x14ac:dyDescent="0.35">
      <c r="A340" s="11" t="str">
        <f t="shared" si="5"/>
        <v>Skye</v>
      </c>
      <c r="B340" s="11" t="s">
        <v>1395</v>
      </c>
      <c r="C340" s="11" t="s">
        <v>1396</v>
      </c>
      <c r="D340" s="11" t="s">
        <v>1397</v>
      </c>
      <c r="E340" s="11" t="s">
        <v>1410</v>
      </c>
      <c r="F340" s="11" t="s">
        <v>1411</v>
      </c>
      <c r="G340" s="11" t="s">
        <v>1412</v>
      </c>
    </row>
    <row r="341" spans="1:7" x14ac:dyDescent="0.35">
      <c r="A341" s="11" t="str">
        <f t="shared" si="5"/>
        <v>Falls</v>
      </c>
      <c r="B341" s="11" t="s">
        <v>1398</v>
      </c>
      <c r="C341" s="11" t="s">
        <v>1399</v>
      </c>
    </row>
    <row r="342" spans="1:7" x14ac:dyDescent="0.35">
      <c r="A342" s="11" t="str">
        <f t="shared" si="5"/>
        <v>Chabon</v>
      </c>
      <c r="B342" s="11" t="s">
        <v>1400</v>
      </c>
      <c r="C342" s="11" t="s">
        <v>1401</v>
      </c>
    </row>
    <row r="343" spans="1:7" x14ac:dyDescent="0.35">
      <c r="A343" s="11" t="str">
        <f t="shared" si="5"/>
        <v>Corder</v>
      </c>
      <c r="B343" s="11" t="s">
        <v>1402</v>
      </c>
      <c r="C343" s="11" t="s">
        <v>1403</v>
      </c>
    </row>
    <row r="344" spans="1:7" x14ac:dyDescent="0.35">
      <c r="A344" s="11" t="str">
        <f t="shared" si="5"/>
        <v>Smiley</v>
      </c>
      <c r="B344" s="11" t="s">
        <v>1407</v>
      </c>
      <c r="C344" s="11" t="s">
        <v>1027</v>
      </c>
    </row>
    <row r="345" spans="1:7" ht="13.5" customHeight="1" x14ac:dyDescent="0.35">
      <c r="A345" s="11" t="str">
        <f t="shared" si="5"/>
        <v>Steele</v>
      </c>
      <c r="B345" s="11" t="s">
        <v>1413</v>
      </c>
      <c r="C345" s="11" t="s">
        <v>1414</v>
      </c>
    </row>
    <row r="346" spans="1:7" ht="13" customHeight="1" x14ac:dyDescent="0.35">
      <c r="A346" s="11" t="str">
        <f t="shared" si="5"/>
        <v>Banaji</v>
      </c>
      <c r="B346" s="11" t="s">
        <v>1416</v>
      </c>
      <c r="C346" s="11" t="s">
        <v>1415</v>
      </c>
    </row>
    <row r="347" spans="1:7" x14ac:dyDescent="0.35">
      <c r="A347" s="11" t="str">
        <f t="shared" si="5"/>
        <v>Forstchen</v>
      </c>
      <c r="B347" s="11" t="s">
        <v>1422</v>
      </c>
      <c r="C347" s="11" t="s">
        <v>1417</v>
      </c>
    </row>
    <row r="348" spans="1:7" x14ac:dyDescent="0.35">
      <c r="A348" s="11" t="str">
        <f t="shared" si="5"/>
        <v>Montgomery</v>
      </c>
      <c r="B348" s="11" t="s">
        <v>1418</v>
      </c>
      <c r="C348" s="11" t="s">
        <v>1421</v>
      </c>
    </row>
    <row r="349" spans="1:7" x14ac:dyDescent="0.35">
      <c r="A349" s="11" t="str">
        <f t="shared" si="5"/>
        <v>Zeihan</v>
      </c>
      <c r="B349" s="11" t="s">
        <v>1419</v>
      </c>
      <c r="C349" s="11" t="s">
        <v>1420</v>
      </c>
    </row>
    <row r="350" spans="1:7" x14ac:dyDescent="0.35">
      <c r="A350" s="11" t="str">
        <f t="shared" si="5"/>
        <v>Strasser</v>
      </c>
      <c r="B350" s="11" t="s">
        <v>1437</v>
      </c>
      <c r="C350" s="11" t="s">
        <v>1438</v>
      </c>
    </row>
    <row r="351" spans="1:7" x14ac:dyDescent="0.35">
      <c r="A351" s="11" t="str">
        <f t="shared" si="5"/>
        <v>Lessing</v>
      </c>
      <c r="B351" s="11" t="s">
        <v>1443</v>
      </c>
      <c r="C351" s="11" t="s">
        <v>1444</v>
      </c>
    </row>
    <row r="352" spans="1:7" x14ac:dyDescent="0.35">
      <c r="A352" s="11" t="str">
        <f t="shared" si="5"/>
        <v>Eggers</v>
      </c>
      <c r="B352" s="11" t="s">
        <v>1426</v>
      </c>
      <c r="C352" s="11" t="s">
        <v>1427</v>
      </c>
    </row>
    <row r="353" spans="1:5" x14ac:dyDescent="0.35">
      <c r="A353" s="11" t="str">
        <f t="shared" si="5"/>
        <v>Lee</v>
      </c>
      <c r="B353" s="11" t="s">
        <v>1391</v>
      </c>
      <c r="C353" s="11" t="s">
        <v>1392</v>
      </c>
    </row>
    <row r="354" spans="1:5" x14ac:dyDescent="0.35">
      <c r="A354" s="11" t="str">
        <f t="shared" si="5"/>
        <v>Daniels</v>
      </c>
      <c r="B354" s="11" t="s">
        <v>1428</v>
      </c>
      <c r="C354" s="11" t="s">
        <v>1429</v>
      </c>
    </row>
    <row r="355" spans="1:5" x14ac:dyDescent="0.35">
      <c r="A355" s="11" t="str">
        <f t="shared" si="5"/>
        <v>Fergus</v>
      </c>
      <c r="B355" s="11" t="s">
        <v>1431</v>
      </c>
      <c r="C355" s="11" t="s">
        <v>1432</v>
      </c>
    </row>
    <row r="356" spans="1:5" x14ac:dyDescent="0.35">
      <c r="A356" s="11" t="str">
        <f t="shared" si="5"/>
        <v>Elegant</v>
      </c>
      <c r="B356" s="11" t="s">
        <v>1433</v>
      </c>
      <c r="C356" s="11" t="s">
        <v>1434</v>
      </c>
    </row>
    <row r="357" spans="1:5" x14ac:dyDescent="0.35">
      <c r="A357" s="11" t="str">
        <f t="shared" si="5"/>
        <v>Morris</v>
      </c>
      <c r="B357" s="11" t="s">
        <v>1436</v>
      </c>
      <c r="C357" s="11" t="s">
        <v>1435</v>
      </c>
    </row>
    <row r="358" spans="1:5" x14ac:dyDescent="0.35">
      <c r="A358" s="11" t="str">
        <f t="shared" si="5"/>
        <v>Groff</v>
      </c>
      <c r="B358" s="11" t="s">
        <v>1404</v>
      </c>
      <c r="C358" s="11" t="s">
        <v>1405</v>
      </c>
      <c r="D358" s="11" t="s">
        <v>1408</v>
      </c>
    </row>
    <row r="359" spans="1:5" x14ac:dyDescent="0.35">
      <c r="A359" s="11" t="str">
        <f t="shared" si="5"/>
        <v>Powers</v>
      </c>
      <c r="B359" s="11" t="s">
        <v>1439</v>
      </c>
      <c r="C359" s="11" t="s">
        <v>1440</v>
      </c>
    </row>
    <row r="360" spans="1:5" x14ac:dyDescent="0.35">
      <c r="A360" s="11" t="str">
        <f t="shared" si="5"/>
        <v>Jeremiah</v>
      </c>
      <c r="B360" s="11" t="s">
        <v>1441</v>
      </c>
      <c r="C360" s="11" t="s">
        <v>1442</v>
      </c>
    </row>
    <row r="361" spans="1:5" x14ac:dyDescent="0.35">
      <c r="A361" s="11" t="str">
        <f t="shared" si="5"/>
        <v>Balko</v>
      </c>
      <c r="B361" s="11" t="s">
        <v>1449</v>
      </c>
      <c r="C361" s="11" t="s">
        <v>1450</v>
      </c>
    </row>
    <row r="362" spans="1:5" x14ac:dyDescent="0.35">
      <c r="A362" s="11" t="str">
        <f t="shared" si="5"/>
        <v>Achebe</v>
      </c>
      <c r="B362" s="11" t="s">
        <v>1453</v>
      </c>
      <c r="C362" s="11" t="s">
        <v>1454</v>
      </c>
      <c r="D362" s="11" t="s">
        <v>1455</v>
      </c>
      <c r="E362" s="11" t="s">
        <v>1456</v>
      </c>
    </row>
    <row r="363" spans="1:5" x14ac:dyDescent="0.35">
      <c r="A363" s="11" t="str">
        <f t="shared" si="5"/>
        <v>Goldfarb</v>
      </c>
      <c r="B363" s="11" t="s">
        <v>1457</v>
      </c>
      <c r="C363" s="11" t="s">
        <v>1520</v>
      </c>
    </row>
    <row r="364" spans="1:5" x14ac:dyDescent="0.35">
      <c r="A364" s="11" t="str">
        <f t="shared" si="5"/>
        <v>Emezi</v>
      </c>
      <c r="B364" s="11" t="s">
        <v>1458</v>
      </c>
      <c r="C364" s="11" t="s">
        <v>1459</v>
      </c>
    </row>
    <row r="365" spans="1:5" x14ac:dyDescent="0.35">
      <c r="A365" s="11" t="str">
        <f t="shared" si="5"/>
        <v>Follette</v>
      </c>
      <c r="B365" s="11" t="s">
        <v>1460</v>
      </c>
      <c r="C365" s="11" t="s">
        <v>1461</v>
      </c>
    </row>
    <row r="366" spans="1:5" x14ac:dyDescent="0.35">
      <c r="A366" s="11" t="str">
        <f t="shared" si="5"/>
        <v>Frazier</v>
      </c>
      <c r="B366" s="11" t="s">
        <v>1462</v>
      </c>
      <c r="C366" s="11" t="s">
        <v>1463</v>
      </c>
    </row>
    <row r="367" spans="1:5" x14ac:dyDescent="0.35">
      <c r="A367" s="11" t="str">
        <f t="shared" si="5"/>
        <v>Tallbear</v>
      </c>
      <c r="B367" s="11" t="s">
        <v>1482</v>
      </c>
      <c r="C367" s="11" t="s">
        <v>1483</v>
      </c>
    </row>
    <row r="368" spans="1:5" x14ac:dyDescent="0.35">
      <c r="A368" s="11" t="str">
        <f t="shared" si="5"/>
        <v>Dekker</v>
      </c>
      <c r="B368" s="11" t="s">
        <v>1484</v>
      </c>
      <c r="C368" s="11" t="s">
        <v>1485</v>
      </c>
      <c r="D368" s="11" t="s">
        <v>1486</v>
      </c>
      <c r="E368" s="11" t="s">
        <v>1487</v>
      </c>
    </row>
    <row r="369" spans="1:3" x14ac:dyDescent="0.35">
      <c r="A369" s="11" t="str">
        <f t="shared" si="5"/>
        <v>Sorrentino</v>
      </c>
      <c r="B369" s="11" t="s">
        <v>1488</v>
      </c>
      <c r="C369" s="11" t="s">
        <v>1519</v>
      </c>
    </row>
    <row r="370" spans="1:3" x14ac:dyDescent="0.35">
      <c r="A370" s="11" t="str">
        <f t="shared" si="5"/>
        <v>Saunt</v>
      </c>
      <c r="B370" s="11" t="s">
        <v>1489</v>
      </c>
      <c r="C370" s="11" t="s">
        <v>1521</v>
      </c>
    </row>
    <row r="371" spans="1:3" x14ac:dyDescent="0.35">
      <c r="A371" s="11" t="str">
        <f t="shared" si="5"/>
        <v>Segovia</v>
      </c>
      <c r="B371" s="11" t="s">
        <v>1490</v>
      </c>
      <c r="C371" s="11" t="s">
        <v>1491</v>
      </c>
    </row>
    <row r="372" spans="1:3" x14ac:dyDescent="0.35">
      <c r="A372" s="11" t="str">
        <f t="shared" si="5"/>
        <v>Sider</v>
      </c>
      <c r="B372" s="11" t="s">
        <v>1492</v>
      </c>
      <c r="C372" s="11" t="s">
        <v>1493</v>
      </c>
    </row>
    <row r="373" spans="1:3" x14ac:dyDescent="0.35">
      <c r="A373" s="11" t="str">
        <f t="shared" si="5"/>
        <v>Danza</v>
      </c>
      <c r="B373" s="11" t="s">
        <v>1495</v>
      </c>
      <c r="C373" s="11" t="s">
        <v>1496</v>
      </c>
    </row>
    <row r="374" spans="1:3" x14ac:dyDescent="0.35">
      <c r="A374" s="11" t="str">
        <f t="shared" si="5"/>
        <v>Lai</v>
      </c>
      <c r="B374" s="11" t="s">
        <v>1497</v>
      </c>
      <c r="C374" s="11" t="s">
        <v>1498</v>
      </c>
    </row>
    <row r="375" spans="1:3" x14ac:dyDescent="0.35">
      <c r="A375" s="11" t="str">
        <f t="shared" si="5"/>
        <v>Kimmerer</v>
      </c>
      <c r="B375" s="11" t="s">
        <v>1499</v>
      </c>
      <c r="C375" s="11" t="s">
        <v>1500</v>
      </c>
    </row>
    <row r="376" spans="1:3" x14ac:dyDescent="0.35">
      <c r="A376" s="11" t="str">
        <f t="shared" si="5"/>
        <v>Czapnik</v>
      </c>
      <c r="B376" s="11" t="s">
        <v>1501</v>
      </c>
      <c r="C376" s="11" t="s">
        <v>1502</v>
      </c>
    </row>
    <row r="377" spans="1:3" x14ac:dyDescent="0.35">
      <c r="A377" s="11" t="str">
        <f t="shared" si="5"/>
        <v>Hunt</v>
      </c>
      <c r="B377" s="11" t="s">
        <v>1503</v>
      </c>
      <c r="C377" s="11" t="s">
        <v>1504</v>
      </c>
    </row>
    <row r="378" spans="1:3" x14ac:dyDescent="0.35">
      <c r="A378" s="11" t="str">
        <f t="shared" si="5"/>
        <v>Perkins</v>
      </c>
      <c r="B378" s="11" t="s">
        <v>1507</v>
      </c>
      <c r="C378" s="11" t="s">
        <v>1508</v>
      </c>
    </row>
    <row r="379" spans="1:3" x14ac:dyDescent="0.35">
      <c r="A379" s="11" t="str">
        <f t="shared" si="5"/>
        <v>Sekaran</v>
      </c>
      <c r="B379" s="11" t="s">
        <v>1512</v>
      </c>
      <c r="C379" s="11" t="s">
        <v>1509</v>
      </c>
    </row>
    <row r="380" spans="1:3" x14ac:dyDescent="0.35">
      <c r="A380" s="11" t="str">
        <f t="shared" si="5"/>
        <v>Polk</v>
      </c>
      <c r="B380" s="11" t="s">
        <v>1511</v>
      </c>
      <c r="C380" s="11" t="s">
        <v>1510</v>
      </c>
    </row>
    <row r="381" spans="1:3" x14ac:dyDescent="0.35">
      <c r="A381" s="11" t="str">
        <f t="shared" si="5"/>
        <v>Oh</v>
      </c>
      <c r="B381" s="11" t="s">
        <v>1513</v>
      </c>
      <c r="C381" s="11" t="s">
        <v>1514</v>
      </c>
    </row>
    <row r="382" spans="1:3" x14ac:dyDescent="0.35">
      <c r="A382" s="11" t="str">
        <f t="shared" ref="A382:A445" si="6">TRIM(RIGHT(SUBSTITUTE(B382," ",REPT(" ",LEN(B382))),LEN(B382)))</f>
        <v>Korda</v>
      </c>
      <c r="B382" s="11" t="s">
        <v>1515</v>
      </c>
      <c r="C382" s="11" t="s">
        <v>1516</v>
      </c>
    </row>
    <row r="383" spans="1:3" x14ac:dyDescent="0.35">
      <c r="A383" s="11" t="str">
        <f t="shared" si="6"/>
        <v>Bradbury</v>
      </c>
      <c r="B383" s="11" t="s">
        <v>1522</v>
      </c>
      <c r="C383" s="11" t="s">
        <v>1523</v>
      </c>
    </row>
    <row r="384" spans="1:3" x14ac:dyDescent="0.35">
      <c r="A384" s="11" t="str">
        <f t="shared" si="6"/>
        <v>Mitchell</v>
      </c>
      <c r="B384" s="11" t="s">
        <v>1524</v>
      </c>
      <c r="C384" s="11" t="s">
        <v>1525</v>
      </c>
    </row>
    <row r="385" spans="1:11" x14ac:dyDescent="0.35">
      <c r="A385" s="11" t="str">
        <f t="shared" si="6"/>
        <v>Campbell</v>
      </c>
      <c r="B385" s="11" t="s">
        <v>1526</v>
      </c>
      <c r="C385" s="11" t="s">
        <v>1527</v>
      </c>
    </row>
    <row r="386" spans="1:11" x14ac:dyDescent="0.35">
      <c r="A386" s="11" t="str">
        <f t="shared" si="6"/>
        <v>Fadiman</v>
      </c>
      <c r="B386" s="11" t="s">
        <v>1528</v>
      </c>
      <c r="C386" s="11" t="s">
        <v>1529</v>
      </c>
    </row>
    <row r="387" spans="1:11" x14ac:dyDescent="0.35">
      <c r="A387" s="11" t="str">
        <f t="shared" si="6"/>
        <v>Hurston</v>
      </c>
      <c r="B387" s="11" t="s">
        <v>1530</v>
      </c>
      <c r="C387" s="11" t="s">
        <v>1531</v>
      </c>
    </row>
    <row r="388" spans="1:11" x14ac:dyDescent="0.35">
      <c r="A388" s="11" t="str">
        <f t="shared" si="6"/>
        <v>Adichie</v>
      </c>
      <c r="B388" s="11" t="s">
        <v>1532</v>
      </c>
      <c r="C388" s="11" t="s">
        <v>1533</v>
      </c>
    </row>
    <row r="389" spans="1:11" x14ac:dyDescent="0.35">
      <c r="A389" s="11" t="str">
        <f t="shared" si="6"/>
        <v>Chiang</v>
      </c>
      <c r="B389" s="11" t="s">
        <v>1534</v>
      </c>
      <c r="C389" s="11" t="s">
        <v>1535</v>
      </c>
      <c r="D389" s="11" t="s">
        <v>1536</v>
      </c>
      <c r="E389" s="11" t="s">
        <v>1537</v>
      </c>
      <c r="F389" s="11" t="s">
        <v>1538</v>
      </c>
      <c r="G389" s="11" t="s">
        <v>1573</v>
      </c>
      <c r="H389" s="11" t="s">
        <v>1539</v>
      </c>
      <c r="I389" s="11" t="s">
        <v>1540</v>
      </c>
      <c r="J389" s="11" t="s">
        <v>1541</v>
      </c>
      <c r="K389" s="11" t="s">
        <v>1542</v>
      </c>
    </row>
    <row r="390" spans="1:11" x14ac:dyDescent="0.35">
      <c r="A390" s="11" t="str">
        <f t="shared" si="6"/>
        <v>Murphy</v>
      </c>
      <c r="B390" s="11" t="s">
        <v>1544</v>
      </c>
      <c r="C390" s="11" t="s">
        <v>1545</v>
      </c>
    </row>
    <row r="391" spans="1:11" x14ac:dyDescent="0.35">
      <c r="A391" s="11" t="str">
        <f t="shared" si="6"/>
        <v>Equiano</v>
      </c>
      <c r="B391" s="11" t="s">
        <v>1547</v>
      </c>
      <c r="C391" s="11" t="s">
        <v>1548</v>
      </c>
    </row>
    <row r="392" spans="1:11" x14ac:dyDescent="0.35">
      <c r="A392" s="11" t="str">
        <f t="shared" si="6"/>
        <v>Prince</v>
      </c>
      <c r="B392" s="11" t="s">
        <v>1549</v>
      </c>
      <c r="C392" s="11" t="s">
        <v>1550</v>
      </c>
    </row>
    <row r="393" spans="1:11" x14ac:dyDescent="0.35">
      <c r="A393" s="11" t="str">
        <f t="shared" si="6"/>
        <v>Asa-Asa</v>
      </c>
      <c r="B393" s="11" t="s">
        <v>1551</v>
      </c>
      <c r="C393" s="11" t="s">
        <v>1552</v>
      </c>
    </row>
    <row r="394" spans="1:11" x14ac:dyDescent="0.35">
      <c r="A394" s="11" t="str">
        <f t="shared" si="6"/>
        <v>Douglass</v>
      </c>
      <c r="B394" s="11" t="s">
        <v>1378</v>
      </c>
      <c r="C394" s="11" t="s">
        <v>1553</v>
      </c>
    </row>
    <row r="395" spans="1:11" x14ac:dyDescent="0.35">
      <c r="A395" s="11" t="str">
        <f t="shared" si="6"/>
        <v>Jacobs</v>
      </c>
      <c r="B395" s="11" t="s">
        <v>1554</v>
      </c>
      <c r="C395" s="11" t="s">
        <v>1555</v>
      </c>
    </row>
    <row r="396" spans="1:11" x14ac:dyDescent="0.35">
      <c r="A396" s="11" t="str">
        <f t="shared" si="6"/>
        <v>Henderson</v>
      </c>
      <c r="B396" s="11" t="s">
        <v>1557</v>
      </c>
      <c r="C396" s="11" t="s">
        <v>1558</v>
      </c>
    </row>
    <row r="397" spans="1:11" x14ac:dyDescent="0.35">
      <c r="A397" s="11" t="str">
        <f t="shared" si="6"/>
        <v>Sotomayor</v>
      </c>
      <c r="B397" s="11" t="s">
        <v>1559</v>
      </c>
      <c r="C397" s="11" t="s">
        <v>1560</v>
      </c>
    </row>
    <row r="398" spans="1:11" x14ac:dyDescent="0.35">
      <c r="A398" s="11" t="str">
        <f t="shared" si="6"/>
        <v>Kahn</v>
      </c>
      <c r="B398" s="11" t="s">
        <v>1618</v>
      </c>
      <c r="C398" s="11" t="s">
        <v>1619</v>
      </c>
    </row>
    <row r="399" spans="1:11" x14ac:dyDescent="0.35">
      <c r="A399" s="11" t="str">
        <f t="shared" si="6"/>
        <v>Lucas</v>
      </c>
      <c r="B399" s="11" t="s">
        <v>1623</v>
      </c>
      <c r="C399" s="11" t="s">
        <v>1622</v>
      </c>
    </row>
    <row r="400" spans="1:11" x14ac:dyDescent="0.35">
      <c r="A400" s="11" t="str">
        <f t="shared" si="6"/>
        <v>Junger</v>
      </c>
      <c r="B400" s="11" t="s">
        <v>1683</v>
      </c>
      <c r="C400" s="11" t="s">
        <v>1684</v>
      </c>
    </row>
    <row r="401" spans="1:4" x14ac:dyDescent="0.35">
      <c r="A401" s="11" t="str">
        <f t="shared" si="6"/>
        <v>Dobie</v>
      </c>
      <c r="B401" s="11" t="s">
        <v>1694</v>
      </c>
      <c r="C401" s="11" t="s">
        <v>1690</v>
      </c>
    </row>
    <row r="402" spans="1:4" x14ac:dyDescent="0.35">
      <c r="A402" s="11" t="str">
        <f t="shared" si="6"/>
        <v>Murray</v>
      </c>
      <c r="B402" s="11" t="s">
        <v>1698</v>
      </c>
      <c r="C402" s="11" t="s">
        <v>1699</v>
      </c>
    </row>
    <row r="403" spans="1:4" x14ac:dyDescent="0.35">
      <c r="A403" s="11" t="str">
        <f t="shared" si="6"/>
        <v>Brussig</v>
      </c>
      <c r="B403" s="11" t="s">
        <v>1702</v>
      </c>
      <c r="C403" s="11" t="s">
        <v>1703</v>
      </c>
    </row>
    <row r="404" spans="1:4" x14ac:dyDescent="0.35">
      <c r="A404" s="11" t="str">
        <f t="shared" si="6"/>
        <v>Merchant</v>
      </c>
      <c r="B404" s="11" t="s">
        <v>1706</v>
      </c>
      <c r="C404" s="11" t="s">
        <v>1707</v>
      </c>
    </row>
    <row r="405" spans="1:4" x14ac:dyDescent="0.35">
      <c r="A405" s="11" t="str">
        <f t="shared" si="6"/>
        <v>Obama</v>
      </c>
      <c r="B405" s="11" t="s">
        <v>1709</v>
      </c>
      <c r="C405" s="11" t="s">
        <v>1710</v>
      </c>
    </row>
    <row r="406" spans="1:4" x14ac:dyDescent="0.35">
      <c r="A406" s="11" t="str">
        <f t="shared" si="6"/>
        <v>Locke</v>
      </c>
      <c r="B406" s="11" t="s">
        <v>1718</v>
      </c>
      <c r="C406" s="11" t="s">
        <v>1719</v>
      </c>
    </row>
    <row r="407" spans="1:4" x14ac:dyDescent="0.35">
      <c r="A407" s="11" t="str">
        <f t="shared" si="6"/>
        <v>Thorne</v>
      </c>
      <c r="B407" s="11" t="s">
        <v>1721</v>
      </c>
      <c r="C407" s="11" t="s">
        <v>1722</v>
      </c>
    </row>
    <row r="408" spans="1:4" x14ac:dyDescent="0.35">
      <c r="A408" s="11" t="str">
        <f t="shared" si="6"/>
        <v>Furlong</v>
      </c>
      <c r="B408" s="11" t="s">
        <v>1724</v>
      </c>
      <c r="C408" s="11" t="s">
        <v>1725</v>
      </c>
    </row>
    <row r="409" spans="1:4" x14ac:dyDescent="0.35">
      <c r="A409" s="11" t="str">
        <f t="shared" si="6"/>
        <v>Gladwell</v>
      </c>
      <c r="B409" s="11" t="s">
        <v>1729</v>
      </c>
      <c r="C409" s="11" t="s">
        <v>1733</v>
      </c>
      <c r="D409" s="11" t="s">
        <v>1731</v>
      </c>
    </row>
    <row r="410" spans="1:4" x14ac:dyDescent="0.35">
      <c r="A410" s="11" t="str">
        <f t="shared" si="6"/>
        <v>Wright</v>
      </c>
      <c r="B410" s="11" t="s">
        <v>1738</v>
      </c>
      <c r="C410" s="11" t="s">
        <v>1739</v>
      </c>
    </row>
    <row r="411" spans="1:4" x14ac:dyDescent="0.35">
      <c r="A411" s="11" t="str">
        <f t="shared" si="6"/>
        <v>Burgess</v>
      </c>
      <c r="B411" s="11" t="s">
        <v>1741</v>
      </c>
      <c r="C411" s="11" t="s">
        <v>1742</v>
      </c>
    </row>
    <row r="412" spans="1:4" x14ac:dyDescent="0.35">
      <c r="A412" s="11" t="str">
        <f t="shared" si="6"/>
        <v>Highsmith</v>
      </c>
      <c r="B412" s="11" t="s">
        <v>1744</v>
      </c>
      <c r="C412" s="11" t="s">
        <v>1745</v>
      </c>
    </row>
    <row r="413" spans="1:4" x14ac:dyDescent="0.35">
      <c r="A413" s="11" t="str">
        <f t="shared" si="6"/>
        <v>Larsson</v>
      </c>
      <c r="B413" s="11" t="s">
        <v>1747</v>
      </c>
      <c r="C413" s="11" t="s">
        <v>1748</v>
      </c>
    </row>
    <row r="414" spans="1:4" x14ac:dyDescent="0.35">
      <c r="A414" s="11" t="str">
        <f t="shared" si="6"/>
        <v>Svensson</v>
      </c>
      <c r="B414" s="11" t="s">
        <v>1752</v>
      </c>
      <c r="C414" s="11" t="s">
        <v>1753</v>
      </c>
    </row>
    <row r="415" spans="1:4" x14ac:dyDescent="0.35">
      <c r="A415" s="11" t="str">
        <f t="shared" si="6"/>
        <v>Hanson</v>
      </c>
      <c r="B415" s="11" t="s">
        <v>1755</v>
      </c>
      <c r="C415" s="11" t="s">
        <v>1756</v>
      </c>
    </row>
    <row r="416" spans="1:4" x14ac:dyDescent="0.35">
      <c r="A416" s="11" t="str">
        <f t="shared" si="6"/>
        <v>Golding</v>
      </c>
      <c r="B416" s="11" t="s">
        <v>1758</v>
      </c>
      <c r="C416" s="11" t="s">
        <v>1759</v>
      </c>
    </row>
    <row r="417" spans="1:1" x14ac:dyDescent="0.35">
      <c r="A417" s="11" t="str">
        <f t="shared" si="6"/>
        <v/>
      </c>
    </row>
    <row r="418" spans="1:1" x14ac:dyDescent="0.35">
      <c r="A418" s="11" t="str">
        <f t="shared" si="6"/>
        <v/>
      </c>
    </row>
    <row r="419" spans="1:1" x14ac:dyDescent="0.35">
      <c r="A419" s="11" t="str">
        <f t="shared" si="6"/>
        <v/>
      </c>
    </row>
    <row r="420" spans="1:1" x14ac:dyDescent="0.35">
      <c r="A420" s="11" t="str">
        <f t="shared" si="6"/>
        <v/>
      </c>
    </row>
    <row r="421" spans="1:1" x14ac:dyDescent="0.35">
      <c r="A421" s="11" t="str">
        <f t="shared" si="6"/>
        <v/>
      </c>
    </row>
    <row r="422" spans="1:1" x14ac:dyDescent="0.35">
      <c r="A422" s="11" t="str">
        <f t="shared" si="6"/>
        <v/>
      </c>
    </row>
    <row r="423" spans="1:1" x14ac:dyDescent="0.35">
      <c r="A423" s="11" t="str">
        <f t="shared" si="6"/>
        <v/>
      </c>
    </row>
    <row r="424" spans="1:1" x14ac:dyDescent="0.35">
      <c r="A424" s="11" t="str">
        <f t="shared" si="6"/>
        <v/>
      </c>
    </row>
    <row r="425" spans="1:1" x14ac:dyDescent="0.35">
      <c r="A425" s="11" t="str">
        <f t="shared" si="6"/>
        <v/>
      </c>
    </row>
    <row r="426" spans="1:1" x14ac:dyDescent="0.35">
      <c r="A426" s="11" t="str">
        <f t="shared" si="6"/>
        <v/>
      </c>
    </row>
    <row r="427" spans="1:1" x14ac:dyDescent="0.35">
      <c r="A427" s="11" t="str">
        <f t="shared" si="6"/>
        <v/>
      </c>
    </row>
    <row r="428" spans="1:1" x14ac:dyDescent="0.35">
      <c r="A428" s="11" t="str">
        <f t="shared" si="6"/>
        <v/>
      </c>
    </row>
    <row r="429" spans="1:1" x14ac:dyDescent="0.35">
      <c r="A429" s="11" t="str">
        <f t="shared" si="6"/>
        <v/>
      </c>
    </row>
    <row r="430" spans="1:1" x14ac:dyDescent="0.35">
      <c r="A430" s="11" t="str">
        <f t="shared" si="6"/>
        <v/>
      </c>
    </row>
    <row r="431" spans="1:1" x14ac:dyDescent="0.35">
      <c r="A431" s="11" t="str">
        <f t="shared" si="6"/>
        <v/>
      </c>
    </row>
    <row r="432" spans="1:1" x14ac:dyDescent="0.35">
      <c r="A432" s="11" t="str">
        <f t="shared" si="6"/>
        <v/>
      </c>
    </row>
    <row r="433" spans="1:1" x14ac:dyDescent="0.35">
      <c r="A433" s="11" t="str">
        <f t="shared" si="6"/>
        <v/>
      </c>
    </row>
    <row r="434" spans="1:1" x14ac:dyDescent="0.35">
      <c r="A434" s="11" t="str">
        <f t="shared" si="6"/>
        <v/>
      </c>
    </row>
    <row r="435" spans="1:1" x14ac:dyDescent="0.35">
      <c r="A435" s="11" t="str">
        <f t="shared" si="6"/>
        <v/>
      </c>
    </row>
    <row r="436" spans="1:1" x14ac:dyDescent="0.35">
      <c r="A436" s="11" t="str">
        <f t="shared" si="6"/>
        <v/>
      </c>
    </row>
    <row r="437" spans="1:1" x14ac:dyDescent="0.35">
      <c r="A437" s="11" t="str">
        <f t="shared" si="6"/>
        <v/>
      </c>
    </row>
    <row r="438" spans="1:1" x14ac:dyDescent="0.35">
      <c r="A438" s="11" t="str">
        <f t="shared" si="6"/>
        <v/>
      </c>
    </row>
    <row r="439" spans="1:1" x14ac:dyDescent="0.35">
      <c r="A439" s="11" t="str">
        <f t="shared" si="6"/>
        <v/>
      </c>
    </row>
    <row r="440" spans="1:1" x14ac:dyDescent="0.35">
      <c r="A440" s="11" t="str">
        <f t="shared" si="6"/>
        <v/>
      </c>
    </row>
    <row r="441" spans="1:1" x14ac:dyDescent="0.35">
      <c r="A441" s="11" t="str">
        <f t="shared" si="6"/>
        <v/>
      </c>
    </row>
    <row r="442" spans="1:1" x14ac:dyDescent="0.35">
      <c r="A442" s="11" t="str">
        <f t="shared" si="6"/>
        <v/>
      </c>
    </row>
    <row r="443" spans="1:1" x14ac:dyDescent="0.35">
      <c r="A443" s="11" t="str">
        <f t="shared" si="6"/>
        <v/>
      </c>
    </row>
    <row r="444" spans="1:1" x14ac:dyDescent="0.35">
      <c r="A444" s="11" t="str">
        <f t="shared" si="6"/>
        <v/>
      </c>
    </row>
    <row r="445" spans="1:1" x14ac:dyDescent="0.35">
      <c r="A445" s="11" t="str">
        <f t="shared" si="6"/>
        <v/>
      </c>
    </row>
    <row r="446" spans="1:1" x14ac:dyDescent="0.35">
      <c r="A446" s="11" t="str">
        <f t="shared" ref="A446:A509" si="7">TRIM(RIGHT(SUBSTITUTE(B446," ",REPT(" ",LEN(B446))),LEN(B446)))</f>
        <v/>
      </c>
    </row>
    <row r="447" spans="1:1" x14ac:dyDescent="0.35">
      <c r="A447" s="11" t="str">
        <f t="shared" si="7"/>
        <v/>
      </c>
    </row>
    <row r="448" spans="1:1" x14ac:dyDescent="0.35">
      <c r="A448" s="11" t="str">
        <f t="shared" si="7"/>
        <v/>
      </c>
    </row>
    <row r="449" spans="1:1" x14ac:dyDescent="0.35">
      <c r="A449" s="11" t="str">
        <f t="shared" si="7"/>
        <v/>
      </c>
    </row>
    <row r="450" spans="1:1" x14ac:dyDescent="0.35">
      <c r="A450" s="11" t="str">
        <f t="shared" si="7"/>
        <v/>
      </c>
    </row>
    <row r="451" spans="1:1" x14ac:dyDescent="0.35">
      <c r="A451" s="11" t="str">
        <f t="shared" si="7"/>
        <v/>
      </c>
    </row>
    <row r="452" spans="1:1" x14ac:dyDescent="0.35">
      <c r="A452" s="11" t="str">
        <f t="shared" si="7"/>
        <v/>
      </c>
    </row>
    <row r="453" spans="1:1" x14ac:dyDescent="0.35">
      <c r="A453" s="11" t="str">
        <f t="shared" si="7"/>
        <v/>
      </c>
    </row>
    <row r="454" spans="1:1" x14ac:dyDescent="0.35">
      <c r="A454" s="11" t="str">
        <f t="shared" si="7"/>
        <v/>
      </c>
    </row>
    <row r="455" spans="1:1" x14ac:dyDescent="0.35">
      <c r="A455" s="11" t="str">
        <f t="shared" si="7"/>
        <v/>
      </c>
    </row>
    <row r="456" spans="1:1" x14ac:dyDescent="0.35">
      <c r="A456" s="11" t="str">
        <f t="shared" si="7"/>
        <v/>
      </c>
    </row>
    <row r="457" spans="1:1" x14ac:dyDescent="0.35">
      <c r="A457" s="11" t="str">
        <f t="shared" si="7"/>
        <v/>
      </c>
    </row>
    <row r="458" spans="1:1" x14ac:dyDescent="0.35">
      <c r="A458" s="11" t="str">
        <f t="shared" si="7"/>
        <v/>
      </c>
    </row>
    <row r="459" spans="1:1" x14ac:dyDescent="0.35">
      <c r="A459" s="11" t="str">
        <f t="shared" si="7"/>
        <v/>
      </c>
    </row>
    <row r="460" spans="1:1" x14ac:dyDescent="0.35">
      <c r="A460" s="11" t="str">
        <f t="shared" si="7"/>
        <v/>
      </c>
    </row>
    <row r="461" spans="1:1" x14ac:dyDescent="0.35">
      <c r="A461" s="11" t="str">
        <f t="shared" si="7"/>
        <v/>
      </c>
    </row>
    <row r="462" spans="1:1" x14ac:dyDescent="0.35">
      <c r="A462" s="11" t="str">
        <f t="shared" si="7"/>
        <v/>
      </c>
    </row>
    <row r="463" spans="1:1" x14ac:dyDescent="0.35">
      <c r="A463" s="11" t="str">
        <f t="shared" si="7"/>
        <v/>
      </c>
    </row>
    <row r="464" spans="1:1" x14ac:dyDescent="0.35">
      <c r="A464" s="11" t="str">
        <f t="shared" si="7"/>
        <v/>
      </c>
    </row>
    <row r="465" spans="1:1" x14ac:dyDescent="0.35">
      <c r="A465" s="11" t="str">
        <f t="shared" si="7"/>
        <v/>
      </c>
    </row>
    <row r="466" spans="1:1" x14ac:dyDescent="0.35">
      <c r="A466" s="11" t="str">
        <f t="shared" si="7"/>
        <v/>
      </c>
    </row>
    <row r="467" spans="1:1" x14ac:dyDescent="0.35">
      <c r="A467" s="11" t="str">
        <f t="shared" si="7"/>
        <v/>
      </c>
    </row>
    <row r="468" spans="1:1" x14ac:dyDescent="0.35">
      <c r="A468" s="11" t="str">
        <f t="shared" si="7"/>
        <v/>
      </c>
    </row>
    <row r="469" spans="1:1" x14ac:dyDescent="0.35">
      <c r="A469" s="11" t="str">
        <f t="shared" si="7"/>
        <v/>
      </c>
    </row>
    <row r="470" spans="1:1" x14ac:dyDescent="0.35">
      <c r="A470" s="11" t="str">
        <f t="shared" si="7"/>
        <v/>
      </c>
    </row>
    <row r="471" spans="1:1" x14ac:dyDescent="0.35">
      <c r="A471" s="11" t="str">
        <f t="shared" si="7"/>
        <v/>
      </c>
    </row>
    <row r="472" spans="1:1" x14ac:dyDescent="0.35">
      <c r="A472" s="11" t="str">
        <f t="shared" si="7"/>
        <v/>
      </c>
    </row>
    <row r="473" spans="1:1" x14ac:dyDescent="0.35">
      <c r="A473" s="11" t="str">
        <f t="shared" si="7"/>
        <v/>
      </c>
    </row>
    <row r="474" spans="1:1" x14ac:dyDescent="0.35">
      <c r="A474" s="11" t="str">
        <f t="shared" si="7"/>
        <v/>
      </c>
    </row>
    <row r="475" spans="1:1" x14ac:dyDescent="0.35">
      <c r="A475" s="11" t="str">
        <f t="shared" si="7"/>
        <v/>
      </c>
    </row>
    <row r="476" spans="1:1" x14ac:dyDescent="0.35">
      <c r="A476" s="11" t="str">
        <f t="shared" si="7"/>
        <v/>
      </c>
    </row>
    <row r="477" spans="1:1" x14ac:dyDescent="0.35">
      <c r="A477" s="11" t="str">
        <f t="shared" si="7"/>
        <v/>
      </c>
    </row>
    <row r="478" spans="1:1" x14ac:dyDescent="0.35">
      <c r="A478" s="11" t="str">
        <f t="shared" si="7"/>
        <v/>
      </c>
    </row>
    <row r="479" spans="1:1" x14ac:dyDescent="0.35">
      <c r="A479" s="11" t="str">
        <f t="shared" si="7"/>
        <v/>
      </c>
    </row>
    <row r="480" spans="1:1" x14ac:dyDescent="0.35">
      <c r="A480" s="11" t="str">
        <f t="shared" si="7"/>
        <v/>
      </c>
    </row>
    <row r="481" spans="1:1" x14ac:dyDescent="0.35">
      <c r="A481" s="11" t="str">
        <f t="shared" si="7"/>
        <v/>
      </c>
    </row>
    <row r="482" spans="1:1" x14ac:dyDescent="0.35">
      <c r="A482" s="11" t="str">
        <f t="shared" si="7"/>
        <v/>
      </c>
    </row>
    <row r="483" spans="1:1" x14ac:dyDescent="0.35">
      <c r="A483" s="11" t="str">
        <f t="shared" si="7"/>
        <v/>
      </c>
    </row>
    <row r="484" spans="1:1" x14ac:dyDescent="0.35">
      <c r="A484" s="11" t="str">
        <f t="shared" si="7"/>
        <v/>
      </c>
    </row>
    <row r="485" spans="1:1" x14ac:dyDescent="0.35">
      <c r="A485" s="11" t="str">
        <f t="shared" si="7"/>
        <v/>
      </c>
    </row>
    <row r="486" spans="1:1" x14ac:dyDescent="0.35">
      <c r="A486" s="11" t="str">
        <f t="shared" si="7"/>
        <v/>
      </c>
    </row>
    <row r="487" spans="1:1" x14ac:dyDescent="0.35">
      <c r="A487" s="11" t="str">
        <f t="shared" si="7"/>
        <v/>
      </c>
    </row>
    <row r="488" spans="1:1" x14ac:dyDescent="0.35">
      <c r="A488" s="11" t="str">
        <f t="shared" si="7"/>
        <v/>
      </c>
    </row>
    <row r="489" spans="1:1" x14ac:dyDescent="0.35">
      <c r="A489" s="11" t="str">
        <f t="shared" si="7"/>
        <v/>
      </c>
    </row>
    <row r="490" spans="1:1" x14ac:dyDescent="0.35">
      <c r="A490" s="11" t="str">
        <f t="shared" si="7"/>
        <v/>
      </c>
    </row>
    <row r="491" spans="1:1" x14ac:dyDescent="0.35">
      <c r="A491" s="11" t="str">
        <f t="shared" si="7"/>
        <v/>
      </c>
    </row>
    <row r="492" spans="1:1" x14ac:dyDescent="0.35">
      <c r="A492" s="11" t="str">
        <f t="shared" si="7"/>
        <v/>
      </c>
    </row>
    <row r="493" spans="1:1" x14ac:dyDescent="0.35">
      <c r="A493" s="11" t="str">
        <f t="shared" si="7"/>
        <v/>
      </c>
    </row>
    <row r="494" spans="1:1" x14ac:dyDescent="0.35">
      <c r="A494" s="11" t="str">
        <f t="shared" si="7"/>
        <v/>
      </c>
    </row>
    <row r="495" spans="1:1" x14ac:dyDescent="0.35">
      <c r="A495" s="11" t="str">
        <f t="shared" si="7"/>
        <v/>
      </c>
    </row>
    <row r="496" spans="1:1" x14ac:dyDescent="0.35">
      <c r="A496" s="11" t="str">
        <f t="shared" si="7"/>
        <v/>
      </c>
    </row>
    <row r="497" spans="1:1" x14ac:dyDescent="0.35">
      <c r="A497" s="11" t="str">
        <f t="shared" si="7"/>
        <v/>
      </c>
    </row>
    <row r="498" spans="1:1" x14ac:dyDescent="0.35">
      <c r="A498" s="11" t="str">
        <f t="shared" si="7"/>
        <v/>
      </c>
    </row>
    <row r="499" spans="1:1" x14ac:dyDescent="0.35">
      <c r="A499" s="11" t="str">
        <f t="shared" si="7"/>
        <v/>
      </c>
    </row>
    <row r="500" spans="1:1" x14ac:dyDescent="0.35">
      <c r="A500" s="11" t="str">
        <f t="shared" si="7"/>
        <v/>
      </c>
    </row>
    <row r="501" spans="1:1" x14ac:dyDescent="0.35">
      <c r="A501" s="11" t="str">
        <f t="shared" si="7"/>
        <v/>
      </c>
    </row>
    <row r="502" spans="1:1" x14ac:dyDescent="0.35">
      <c r="A502" s="11" t="str">
        <f t="shared" si="7"/>
        <v/>
      </c>
    </row>
    <row r="503" spans="1:1" x14ac:dyDescent="0.35">
      <c r="A503" s="11" t="str">
        <f t="shared" si="7"/>
        <v/>
      </c>
    </row>
    <row r="504" spans="1:1" x14ac:dyDescent="0.35">
      <c r="A504" s="11" t="str">
        <f t="shared" si="7"/>
        <v/>
      </c>
    </row>
    <row r="505" spans="1:1" x14ac:dyDescent="0.35">
      <c r="A505" s="11" t="str">
        <f t="shared" si="7"/>
        <v/>
      </c>
    </row>
    <row r="506" spans="1:1" x14ac:dyDescent="0.35">
      <c r="A506" s="11" t="str">
        <f t="shared" si="7"/>
        <v/>
      </c>
    </row>
    <row r="507" spans="1:1" x14ac:dyDescent="0.35">
      <c r="A507" s="11" t="str">
        <f t="shared" si="7"/>
        <v/>
      </c>
    </row>
    <row r="508" spans="1:1" x14ac:dyDescent="0.35">
      <c r="A508" s="11" t="str">
        <f t="shared" si="7"/>
        <v/>
      </c>
    </row>
    <row r="509" spans="1:1" x14ac:dyDescent="0.35">
      <c r="A509" s="11" t="str">
        <f t="shared" si="7"/>
        <v/>
      </c>
    </row>
    <row r="510" spans="1:1" x14ac:dyDescent="0.35">
      <c r="A510" s="11" t="str">
        <f t="shared" ref="A510:A573" si="8">TRIM(RIGHT(SUBSTITUTE(B510," ",REPT(" ",LEN(B510))),LEN(B510)))</f>
        <v/>
      </c>
    </row>
    <row r="511" spans="1:1" x14ac:dyDescent="0.35">
      <c r="A511" s="11" t="str">
        <f t="shared" si="8"/>
        <v/>
      </c>
    </row>
    <row r="512" spans="1:1" x14ac:dyDescent="0.35">
      <c r="A512" s="11" t="str">
        <f t="shared" si="8"/>
        <v/>
      </c>
    </row>
    <row r="513" spans="1:1" x14ac:dyDescent="0.35">
      <c r="A513" s="11" t="str">
        <f t="shared" si="8"/>
        <v/>
      </c>
    </row>
    <row r="514" spans="1:1" x14ac:dyDescent="0.35">
      <c r="A514" s="11" t="str">
        <f t="shared" si="8"/>
        <v/>
      </c>
    </row>
    <row r="515" spans="1:1" x14ac:dyDescent="0.35">
      <c r="A515" s="11" t="str">
        <f t="shared" si="8"/>
        <v/>
      </c>
    </row>
    <row r="516" spans="1:1" x14ac:dyDescent="0.35">
      <c r="A516" s="11" t="str">
        <f t="shared" si="8"/>
        <v/>
      </c>
    </row>
    <row r="517" spans="1:1" x14ac:dyDescent="0.35">
      <c r="A517" s="11" t="str">
        <f t="shared" si="8"/>
        <v/>
      </c>
    </row>
    <row r="518" spans="1:1" x14ac:dyDescent="0.35">
      <c r="A518" s="11" t="str">
        <f t="shared" si="8"/>
        <v/>
      </c>
    </row>
    <row r="519" spans="1:1" x14ac:dyDescent="0.35">
      <c r="A519" s="11" t="str">
        <f t="shared" si="8"/>
        <v/>
      </c>
    </row>
    <row r="520" spans="1:1" x14ac:dyDescent="0.35">
      <c r="A520" s="11" t="str">
        <f t="shared" si="8"/>
        <v/>
      </c>
    </row>
    <row r="521" spans="1:1" x14ac:dyDescent="0.35">
      <c r="A521" s="11" t="str">
        <f t="shared" si="8"/>
        <v/>
      </c>
    </row>
    <row r="522" spans="1:1" x14ac:dyDescent="0.35">
      <c r="A522" s="11" t="str">
        <f t="shared" si="8"/>
        <v/>
      </c>
    </row>
    <row r="523" spans="1:1" x14ac:dyDescent="0.35">
      <c r="A523" s="11" t="str">
        <f t="shared" si="8"/>
        <v/>
      </c>
    </row>
    <row r="524" spans="1:1" x14ac:dyDescent="0.35">
      <c r="A524" s="11" t="str">
        <f t="shared" si="8"/>
        <v/>
      </c>
    </row>
    <row r="525" spans="1:1" x14ac:dyDescent="0.35">
      <c r="A525" s="11" t="str">
        <f t="shared" si="8"/>
        <v/>
      </c>
    </row>
    <row r="526" spans="1:1" x14ac:dyDescent="0.35">
      <c r="A526" s="11" t="str">
        <f t="shared" si="8"/>
        <v/>
      </c>
    </row>
    <row r="527" spans="1:1" x14ac:dyDescent="0.35">
      <c r="A527" s="11" t="str">
        <f t="shared" si="8"/>
        <v/>
      </c>
    </row>
    <row r="528" spans="1:1" x14ac:dyDescent="0.35">
      <c r="A528" s="11" t="str">
        <f t="shared" si="8"/>
        <v/>
      </c>
    </row>
    <row r="529" spans="1:1" x14ac:dyDescent="0.35">
      <c r="A529" s="11" t="str">
        <f t="shared" si="8"/>
        <v/>
      </c>
    </row>
    <row r="530" spans="1:1" x14ac:dyDescent="0.35">
      <c r="A530" s="11" t="str">
        <f t="shared" si="8"/>
        <v/>
      </c>
    </row>
    <row r="531" spans="1:1" x14ac:dyDescent="0.35">
      <c r="A531" s="11" t="str">
        <f t="shared" si="8"/>
        <v/>
      </c>
    </row>
    <row r="532" spans="1:1" x14ac:dyDescent="0.35">
      <c r="A532" s="11" t="str">
        <f t="shared" si="8"/>
        <v/>
      </c>
    </row>
    <row r="533" spans="1:1" x14ac:dyDescent="0.35">
      <c r="A533" s="11" t="str">
        <f t="shared" si="8"/>
        <v/>
      </c>
    </row>
    <row r="534" spans="1:1" x14ac:dyDescent="0.35">
      <c r="A534" s="11" t="str">
        <f t="shared" si="8"/>
        <v/>
      </c>
    </row>
    <row r="535" spans="1:1" x14ac:dyDescent="0.35">
      <c r="A535" s="11" t="str">
        <f t="shared" si="8"/>
        <v/>
      </c>
    </row>
    <row r="536" spans="1:1" x14ac:dyDescent="0.35">
      <c r="A536" s="11" t="str">
        <f t="shared" si="8"/>
        <v/>
      </c>
    </row>
    <row r="537" spans="1:1" x14ac:dyDescent="0.35">
      <c r="A537" s="11" t="str">
        <f t="shared" si="8"/>
        <v/>
      </c>
    </row>
    <row r="538" spans="1:1" x14ac:dyDescent="0.35">
      <c r="A538" s="11" t="str">
        <f t="shared" si="8"/>
        <v/>
      </c>
    </row>
    <row r="539" spans="1:1" x14ac:dyDescent="0.35">
      <c r="A539" s="11" t="str">
        <f t="shared" si="8"/>
        <v/>
      </c>
    </row>
    <row r="540" spans="1:1" x14ac:dyDescent="0.35">
      <c r="A540" s="11" t="str">
        <f t="shared" si="8"/>
        <v/>
      </c>
    </row>
    <row r="541" spans="1:1" x14ac:dyDescent="0.35">
      <c r="A541" s="11" t="str">
        <f t="shared" si="8"/>
        <v/>
      </c>
    </row>
    <row r="542" spans="1:1" x14ac:dyDescent="0.35">
      <c r="A542" s="11" t="str">
        <f t="shared" si="8"/>
        <v/>
      </c>
    </row>
    <row r="543" spans="1:1" x14ac:dyDescent="0.35">
      <c r="A543" s="11" t="str">
        <f t="shared" si="8"/>
        <v/>
      </c>
    </row>
    <row r="544" spans="1:1" x14ac:dyDescent="0.35">
      <c r="A544" s="11" t="str">
        <f t="shared" si="8"/>
        <v/>
      </c>
    </row>
    <row r="545" spans="1:1" x14ac:dyDescent="0.35">
      <c r="A545" s="11" t="str">
        <f t="shared" si="8"/>
        <v/>
      </c>
    </row>
    <row r="546" spans="1:1" x14ac:dyDescent="0.35">
      <c r="A546" s="11" t="str">
        <f t="shared" si="8"/>
        <v/>
      </c>
    </row>
    <row r="547" spans="1:1" x14ac:dyDescent="0.35">
      <c r="A547" s="11" t="str">
        <f t="shared" si="8"/>
        <v/>
      </c>
    </row>
    <row r="548" spans="1:1" x14ac:dyDescent="0.35">
      <c r="A548" s="11" t="str">
        <f t="shared" si="8"/>
        <v/>
      </c>
    </row>
    <row r="549" spans="1:1" x14ac:dyDescent="0.35">
      <c r="A549" s="11" t="str">
        <f t="shared" si="8"/>
        <v/>
      </c>
    </row>
    <row r="550" spans="1:1" x14ac:dyDescent="0.35">
      <c r="A550" s="11" t="str">
        <f t="shared" si="8"/>
        <v/>
      </c>
    </row>
    <row r="551" spans="1:1" x14ac:dyDescent="0.35">
      <c r="A551" s="11" t="str">
        <f t="shared" si="8"/>
        <v/>
      </c>
    </row>
    <row r="552" spans="1:1" x14ac:dyDescent="0.35">
      <c r="A552" s="11" t="str">
        <f t="shared" si="8"/>
        <v/>
      </c>
    </row>
    <row r="553" spans="1:1" x14ac:dyDescent="0.35">
      <c r="A553" s="11" t="str">
        <f t="shared" si="8"/>
        <v/>
      </c>
    </row>
    <row r="554" spans="1:1" x14ac:dyDescent="0.35">
      <c r="A554" s="11" t="str">
        <f t="shared" si="8"/>
        <v/>
      </c>
    </row>
    <row r="555" spans="1:1" x14ac:dyDescent="0.35">
      <c r="A555" s="11" t="str">
        <f t="shared" si="8"/>
        <v/>
      </c>
    </row>
    <row r="556" spans="1:1" x14ac:dyDescent="0.35">
      <c r="A556" s="11" t="str">
        <f t="shared" si="8"/>
        <v/>
      </c>
    </row>
    <row r="557" spans="1:1" x14ac:dyDescent="0.35">
      <c r="A557" s="11" t="str">
        <f t="shared" si="8"/>
        <v/>
      </c>
    </row>
    <row r="558" spans="1:1" x14ac:dyDescent="0.35">
      <c r="A558" s="11" t="str">
        <f t="shared" si="8"/>
        <v/>
      </c>
    </row>
    <row r="559" spans="1:1" x14ac:dyDescent="0.35">
      <c r="A559" s="11" t="str">
        <f t="shared" si="8"/>
        <v/>
      </c>
    </row>
    <row r="560" spans="1:1" x14ac:dyDescent="0.35">
      <c r="A560" s="11" t="str">
        <f t="shared" si="8"/>
        <v/>
      </c>
    </row>
    <row r="561" spans="1:1" x14ac:dyDescent="0.35">
      <c r="A561" s="11" t="str">
        <f t="shared" si="8"/>
        <v/>
      </c>
    </row>
    <row r="562" spans="1:1" x14ac:dyDescent="0.35">
      <c r="A562" s="11" t="str">
        <f t="shared" si="8"/>
        <v/>
      </c>
    </row>
    <row r="563" spans="1:1" x14ac:dyDescent="0.35">
      <c r="A563" s="11" t="str">
        <f t="shared" si="8"/>
        <v/>
      </c>
    </row>
    <row r="564" spans="1:1" x14ac:dyDescent="0.35">
      <c r="A564" s="11" t="str">
        <f t="shared" si="8"/>
        <v/>
      </c>
    </row>
    <row r="565" spans="1:1" x14ac:dyDescent="0.35">
      <c r="A565" s="11" t="str">
        <f t="shared" si="8"/>
        <v/>
      </c>
    </row>
    <row r="566" spans="1:1" x14ac:dyDescent="0.35">
      <c r="A566" s="11" t="str">
        <f t="shared" si="8"/>
        <v/>
      </c>
    </row>
    <row r="567" spans="1:1" x14ac:dyDescent="0.35">
      <c r="A567" s="11" t="str">
        <f t="shared" si="8"/>
        <v/>
      </c>
    </row>
    <row r="568" spans="1:1" x14ac:dyDescent="0.35">
      <c r="A568" s="11" t="str">
        <f t="shared" si="8"/>
        <v/>
      </c>
    </row>
    <row r="569" spans="1:1" x14ac:dyDescent="0.35">
      <c r="A569" s="11" t="str">
        <f t="shared" si="8"/>
        <v/>
      </c>
    </row>
    <row r="570" spans="1:1" x14ac:dyDescent="0.35">
      <c r="A570" s="11" t="str">
        <f t="shared" si="8"/>
        <v/>
      </c>
    </row>
    <row r="571" spans="1:1" x14ac:dyDescent="0.35">
      <c r="A571" s="11" t="str">
        <f t="shared" si="8"/>
        <v/>
      </c>
    </row>
    <row r="572" spans="1:1" x14ac:dyDescent="0.35">
      <c r="A572" s="11" t="str">
        <f t="shared" si="8"/>
        <v/>
      </c>
    </row>
    <row r="573" spans="1:1" x14ac:dyDescent="0.35">
      <c r="A573" s="11" t="str">
        <f t="shared" si="8"/>
        <v/>
      </c>
    </row>
    <row r="574" spans="1:1" x14ac:dyDescent="0.35">
      <c r="A574" s="11" t="str">
        <f t="shared" ref="A574:A596" si="9">TRIM(RIGHT(SUBSTITUTE(B574," ",REPT(" ",LEN(B574))),LEN(B574)))</f>
        <v/>
      </c>
    </row>
    <row r="575" spans="1:1" x14ac:dyDescent="0.35">
      <c r="A575" s="11" t="str">
        <f t="shared" si="9"/>
        <v/>
      </c>
    </row>
    <row r="576" spans="1:1" x14ac:dyDescent="0.35">
      <c r="A576" s="11" t="str">
        <f t="shared" si="9"/>
        <v/>
      </c>
    </row>
    <row r="577" spans="1:1" x14ac:dyDescent="0.35">
      <c r="A577" s="11" t="str">
        <f t="shared" si="9"/>
        <v/>
      </c>
    </row>
    <row r="578" spans="1:1" x14ac:dyDescent="0.35">
      <c r="A578" s="11" t="str">
        <f t="shared" si="9"/>
        <v/>
      </c>
    </row>
    <row r="579" spans="1:1" x14ac:dyDescent="0.35">
      <c r="A579" s="11" t="str">
        <f t="shared" si="9"/>
        <v/>
      </c>
    </row>
    <row r="580" spans="1:1" x14ac:dyDescent="0.35">
      <c r="A580" s="11" t="str">
        <f t="shared" si="9"/>
        <v/>
      </c>
    </row>
    <row r="581" spans="1:1" x14ac:dyDescent="0.35">
      <c r="A581" s="11" t="str">
        <f t="shared" si="9"/>
        <v/>
      </c>
    </row>
    <row r="582" spans="1:1" x14ac:dyDescent="0.35">
      <c r="A582" s="11" t="str">
        <f t="shared" si="9"/>
        <v/>
      </c>
    </row>
    <row r="583" spans="1:1" x14ac:dyDescent="0.35">
      <c r="A583" s="11" t="str">
        <f t="shared" si="9"/>
        <v/>
      </c>
    </row>
    <row r="584" spans="1:1" x14ac:dyDescent="0.35">
      <c r="A584" s="11" t="str">
        <f t="shared" si="9"/>
        <v/>
      </c>
    </row>
    <row r="585" spans="1:1" x14ac:dyDescent="0.35">
      <c r="A585" s="11" t="str">
        <f t="shared" si="9"/>
        <v/>
      </c>
    </row>
    <row r="586" spans="1:1" x14ac:dyDescent="0.35">
      <c r="A586" s="11" t="str">
        <f t="shared" si="9"/>
        <v/>
      </c>
    </row>
    <row r="587" spans="1:1" x14ac:dyDescent="0.35">
      <c r="A587" s="11" t="str">
        <f t="shared" si="9"/>
        <v/>
      </c>
    </row>
    <row r="588" spans="1:1" x14ac:dyDescent="0.35">
      <c r="A588" s="11" t="str">
        <f t="shared" si="9"/>
        <v/>
      </c>
    </row>
    <row r="589" spans="1:1" x14ac:dyDescent="0.35">
      <c r="A589" s="11" t="str">
        <f t="shared" si="9"/>
        <v/>
      </c>
    </row>
    <row r="590" spans="1:1" x14ac:dyDescent="0.35">
      <c r="A590" s="11" t="str">
        <f t="shared" si="9"/>
        <v/>
      </c>
    </row>
    <row r="591" spans="1:1" x14ac:dyDescent="0.35">
      <c r="A591" s="11" t="str">
        <f t="shared" si="9"/>
        <v/>
      </c>
    </row>
    <row r="592" spans="1:1" x14ac:dyDescent="0.35">
      <c r="A592" s="11" t="str">
        <f t="shared" si="9"/>
        <v/>
      </c>
    </row>
    <row r="593" spans="1:1" x14ac:dyDescent="0.35">
      <c r="A593" s="11" t="str">
        <f t="shared" si="9"/>
        <v/>
      </c>
    </row>
    <row r="594" spans="1:1" x14ac:dyDescent="0.35">
      <c r="A594" s="11" t="str">
        <f t="shared" si="9"/>
        <v/>
      </c>
    </row>
    <row r="595" spans="1:1" x14ac:dyDescent="0.35">
      <c r="A595" s="11" t="str">
        <f t="shared" si="9"/>
        <v/>
      </c>
    </row>
    <row r="596" spans="1:1" x14ac:dyDescent="0.35">
      <c r="A596" s="11" t="str">
        <f t="shared" si="9"/>
        <v/>
      </c>
    </row>
    <row r="602" spans="1:1" x14ac:dyDescent="0.35">
      <c r="A602" s="11" t="e">
        <f t="shared" ref="A602:A603" si="10">RIGHT(B602, LEN(B602) -  SEARCH(" ",B602,1)+1)</f>
        <v>#VALUE!</v>
      </c>
    </row>
    <row r="603" spans="1:1" x14ac:dyDescent="0.35">
      <c r="A603" s="11" t="e">
        <f t="shared" si="10"/>
        <v>#VALUE!</v>
      </c>
    </row>
  </sheetData>
  <hyperlinks>
    <hyperlink ref="C5" r:id="rId1" tooltip="A Wizard of Earthsea" display="https://en.wikipedia.org/wiki/A_Wizard_of_Earthsea" xr:uid="{B2CB2827-768F-45F4-A7C1-E456798F817C}"/>
    <hyperlink ref="D5" r:id="rId2" tooltip="The Tombs of Atuan" display="https://en.wikipedia.org/wiki/The_Tombs_of_Atuan" xr:uid="{EDA4FBF8-7179-4533-B45F-ACC2F2DB7CAC}"/>
    <hyperlink ref="E5" r:id="rId3" tooltip="The Farthest Shore" display="https://en.wikipedia.org/wiki/The_Farthest_Shore" xr:uid="{BB9E6C79-1D6F-49F4-8CD0-8AECF724C687}"/>
    <hyperlink ref="F5" r:id="rId4" tooltip="Tehanu" display="https://en.wikipedia.org/wiki/Tehanu" xr:uid="{013131FA-96BB-4F22-9E8F-6F2EE97A69F9}"/>
    <hyperlink ref="G5" r:id="rId5" tooltip="Tales from Earthsea" display="https://en.wikipedia.org/wiki/Tales_from_Earthsea" xr:uid="{5DB4AF4E-3659-4B73-B288-7693DB69B2B2}"/>
    <hyperlink ref="H5" r:id="rId6" tooltip="The Other Wind" display="https://en.wikipedia.org/wiki/The_Other_Wind" xr:uid="{BCBA3922-EFA9-402B-AE2F-4F90AA605D2C}"/>
    <hyperlink ref="E7" r:id="rId7" tooltip="Prince Caspian" display="https://en.wikipedia.org/wiki/Prince_Caspian" xr:uid="{614E805E-AEEA-4907-B1EB-90A858DCE4AC}"/>
    <hyperlink ref="F7" r:id="rId8" tooltip="The Voyage of the Dawn Treader" display="https://en.wikipedia.org/wiki/The_Voyage_of_the_Dawn_Treader" xr:uid="{61C65612-6FE5-4C27-A45C-B595EB28AF96}"/>
    <hyperlink ref="G7" r:id="rId9" tooltip="The Silver Chair" display="https://en.wikipedia.org/wiki/The_Silver_Chair" xr:uid="{1985A739-2150-4D12-A068-D08D34499EF8}"/>
    <hyperlink ref="H7" r:id="rId10" tooltip="The Horse and His Boy" display="https://en.wikipedia.org/wiki/The_Horse_and_His_Boy" xr:uid="{DC9C8C29-06FB-476B-B517-21E11BEAC282}"/>
    <hyperlink ref="I7" r:id="rId11" tooltip="The Last Battle" display="https://en.wikipedia.org/wiki/The_Last_Battle" xr:uid="{A726C61D-F604-430C-AFAC-B17A5DBC2C71}"/>
    <hyperlink ref="C10" r:id="rId12" tooltip="Foundation (Isaac Asimov novel)" display="https://en.wikipedia.org/wiki/Foundation_(Isaac_Asimov_novel)" xr:uid="{3AC63F8B-E724-43AF-91CF-768C842B1948}"/>
    <hyperlink ref="D10" r:id="rId13" tooltip="Foundation and Empire" display="https://en.wikipedia.org/wiki/Foundation_and_Empire" xr:uid="{0624FDEE-2E4C-4661-8D92-CDAA28B1E885}"/>
    <hyperlink ref="E10" r:id="rId14" tooltip="Second Foundation" display="https://en.wikipedia.org/wiki/Second_Foundation" xr:uid="{AAAD892B-9961-49F7-A819-C747099B2F5D}"/>
    <hyperlink ref="F10" r:id="rId15" tooltip="Foundation's Edge" display="https://en.wikipedia.org/wiki/Foundation%27s_Edge" xr:uid="{A9EFA644-B613-406E-8446-3811DF266CB2}"/>
    <hyperlink ref="G10" r:id="rId16" tooltip="Foundation and Earth" display="https://en.wikipedia.org/wiki/Foundation_and_Earth" xr:uid="{B96D78C5-BDC3-4DB2-973F-BA212C766605}"/>
    <hyperlink ref="D12" r:id="rId17" location="The_Dark_Is_Rising" display="https://en.wikipedia.org/wiki/The_Dark_Is_Rising_Sequence - The_Dark_Is_Rising" xr:uid="{6A650E57-DC9C-4643-AB32-B5388DED9A4A}"/>
    <hyperlink ref="E12" r:id="rId18" location="Greenwitch" display="https://en.wikipedia.org/wiki/The_Dark_Is_Rising_Sequence - Greenwitch" xr:uid="{02948E6B-C78F-4429-8353-5EB78D01CA82}"/>
    <hyperlink ref="F12" r:id="rId19" location="The_Grey_King" display="https://en.wikipedia.org/wiki/The_Dark_Is_Rising_Sequence - The_Grey_King" xr:uid="{C0C1F912-8918-4A22-A5DC-79304530EA76}"/>
    <hyperlink ref="G12" r:id="rId20" location="Silver_on_the_Tree" display="https://en.wikipedia.org/wiki/The_Dark_Is_Rising_Sequence - Silver_on_the_Tree" xr:uid="{FEBE2FB6-01E1-4DB4-A43F-01DBFDD8C225}"/>
    <hyperlink ref="C18" r:id="rId21" tooltip="Among the Hidden" display="https://en.wikipedia.org/wiki/Among_the_Hidden" xr:uid="{40AB2E85-A08D-4DD7-8106-DB93D842059F}"/>
    <hyperlink ref="D18" r:id="rId22" tooltip="Among the Impostors" display="https://en.wikipedia.org/wiki/Among_the_Impostors" xr:uid="{7E888BFC-696F-4665-86F3-C1B6555F9B05}"/>
    <hyperlink ref="E18" r:id="rId23" tooltip="Among the Betrayed" display="https://en.wikipedia.org/wiki/Among_the_Betrayed" xr:uid="{F524A9E1-63D8-4511-8B73-F3166305CC8D}"/>
    <hyperlink ref="F18" r:id="rId24" tooltip="Among the Barons" display="https://en.wikipedia.org/wiki/Among_the_Barons" xr:uid="{020835BD-6025-4C3D-98C6-A86C3F9B75FF}"/>
    <hyperlink ref="G18" r:id="rId25" tooltip="Among the Brave" display="https://en.wikipedia.org/wiki/Among_the_Brave" xr:uid="{B3288637-E1A6-4848-A991-A1869ED90D9E}"/>
    <hyperlink ref="H18" r:id="rId26" tooltip="Among the Enemy" display="https://en.wikipedia.org/wiki/Among_the_Enemy" xr:uid="{203868EB-AE9C-4911-8439-E3CEB654BF5F}"/>
    <hyperlink ref="I18" r:id="rId27" tooltip="Among the Free" display="https://en.wikipedia.org/wiki/Among_the_Free" xr:uid="{B9EAA054-B62C-4E79-8617-25EDBC35FD9E}"/>
    <hyperlink ref="J18" r:id="rId28" location="Found" display="https://en.wikipedia.org/wiki/The_Missing_(novel_series) - Found" xr:uid="{D775F06D-122D-4FA8-816D-BC8C83F59639}"/>
    <hyperlink ref="K18" r:id="rId29" location="Sent" display="https://en.wikipedia.org/wiki/The_Missing_(novel_series) - Sent" xr:uid="{9D329C36-5A06-48C1-938A-9F24ABA1A81A}"/>
    <hyperlink ref="L18" r:id="rId30" location="Sabotaged" display="https://en.wikipedia.org/wiki/The_Missing_(novel_series) - Sabotaged" xr:uid="{93027489-39A7-4890-8E38-17A3D15148A3}"/>
    <hyperlink ref="M18" r:id="rId31" location="Torn" xr:uid="{A452418D-0DBB-400E-80E1-23402B710EEF}"/>
    <hyperlink ref="N18" r:id="rId32" location="Caught" display="https://en.wikipedia.org/wiki/The_Missing_(novel_series) - Caught" xr:uid="{4D48C5EE-782A-4932-BC90-436B7503AE32}"/>
    <hyperlink ref="O18" r:id="rId33" location="Risked" display="https://en.wikipedia.org/wiki/The_Missing_(novel_series) - Risked" xr:uid="{EFC37DE1-9DD3-490A-8E2E-D72A0DC50787}"/>
    <hyperlink ref="P18" r:id="rId34" location="Revealed" display="https://en.wikipedia.org/wiki/The_Missing_(novel_series) - Revealed" xr:uid="{CC1F0868-5911-4350-A406-4E9F6F823EDF}"/>
    <hyperlink ref="Q18" r:id="rId35" location="Redeemed" display="https://en.wikipedia.org/wiki/The_Missing_(novel_series) - Redeemed" xr:uid="{2BECA762-C632-467B-B49F-09B84F219207}"/>
    <hyperlink ref="S18" r:id="rId36" tooltip="Leaving Fishers" display="https://en.wikipedia.org/wiki/Leaving_Fishers" xr:uid="{9C0CC548-C727-47AC-9CEB-305550CBD40C}"/>
    <hyperlink ref="T18" r:id="rId37" display="https://en.wikipedia.org/wiki/Just_Ella" xr:uid="{99457A7C-4AF8-46A4-9C0E-253D822525AB}"/>
    <hyperlink ref="U18" r:id="rId38" tooltip="Turnabout (Haddix novel)" display="https://en.wikipedia.org/wiki/Turnabout_(Haddix_novel)" xr:uid="{562B99C0-CEAD-4025-8166-7DBA0C4495A5}"/>
    <hyperlink ref="V18" r:id="rId39" tooltip="Escape from Memory" display="https://en.wikipedia.org/wiki/Escape_from_Memory" xr:uid="{5BA2E526-D98B-4E58-A80E-C01B52203707}"/>
    <hyperlink ref="Y18" r:id="rId40" tooltip="Double Identity (Haddix novel)" display="https://en.wikipedia.org/wiki/Double_Identity_(Haddix_novel)" xr:uid="{1F2E44C3-5C93-4C9F-974E-4DA3C3EB4A83}"/>
    <hyperlink ref="Z18" r:id="rId41" tooltip="Claim to Fame" display="https://en.wikipedia.org/wiki/Claim_to_Fame" xr:uid="{2AC856A5-67FA-4816-ACFB-C6571A64AF45}"/>
    <hyperlink ref="B19" r:id="rId42" tooltip="D.J. MacHale" display="https://en.wikipedia.org/wiki/D.J._MacHale" xr:uid="{A4AEA714-F951-4272-A7C5-9B9675E11E37}"/>
    <hyperlink ref="C114" r:id="rId43" tooltip="The Ruins of Gorlan" display="https://en.wikipedia.org/wiki/The_Ruins_of_Gorlan" xr:uid="{5B45C34D-A40D-4884-9F19-56705ADE5693}"/>
    <hyperlink ref="D114" r:id="rId44" tooltip="The Burning Bridge" display="https://en.wikipedia.org/wiki/The_Burning_Bridge" xr:uid="{38143058-A79C-4DA2-84BC-6040B705AB52}"/>
    <hyperlink ref="E114" r:id="rId45" tooltip="The Icebound Land" display="https://en.wikipedia.org/wiki/The_Icebound_Land" xr:uid="{4B61FA21-8839-47E4-978C-65083080D3A8}"/>
    <hyperlink ref="F114" r:id="rId46" tooltip="Oakleaf Bearers" display="https://en.wikipedia.org/wiki/Oakleaf_Bearers" xr:uid="{64AB9B9A-73EA-45B3-BAC8-CA57DE31EA7F}"/>
    <hyperlink ref="G114" r:id="rId47" tooltip="The Sorcerer in the North" display="https://en.wikipedia.org/wiki/The_Sorcerer_in_the_North" xr:uid="{8AD4DC1F-8196-4B5F-998E-EBE73C118700}"/>
    <hyperlink ref="H114" r:id="rId48" tooltip="The Siege of Macindaw" display="https://en.wikipedia.org/wiki/The_Siege_of_Macindaw" xr:uid="{7752D8FA-3CDD-423B-8A31-ABF516929706}"/>
    <hyperlink ref="I114" r:id="rId49" tooltip="Erak's Ransom" display="https://en.wikipedia.org/wiki/Erak%27s_Ransom" xr:uid="{BB10846C-886C-4A88-A7BF-C9F826C24F46}"/>
    <hyperlink ref="J114" r:id="rId50" tooltip="The Kings of Clonmel" display="https://en.wikipedia.org/wiki/The_Kings_of_Clonmel" xr:uid="{4C1DDE59-819A-46C1-8EF6-1692B81E175D}"/>
    <hyperlink ref="K114" r:id="rId51" tooltip="Halt's Peril" display="https://en.wikipedia.org/wiki/Halt%27s_Peril" xr:uid="{70CB6EAB-B4E2-43D2-9247-65400C91FF2C}"/>
    <hyperlink ref="L114" r:id="rId52" tooltip="The Emperor of Nihon-Ja" display="https://en.wikipedia.org/wiki/The_Emperor_of_Nihon-Ja" xr:uid="{2721CE4B-627E-4916-9472-E8811E952B2A}"/>
    <hyperlink ref="M114" r:id="rId53" tooltip="The Lost Stories" display="https://en.wikipedia.org/wiki/The_Lost_Stories" xr:uid="{76B683B6-87F1-4062-96EB-947E559F2293}"/>
    <hyperlink ref="N114" r:id="rId54" tooltip="The Outcasts (novel)" display="https://en.wikipedia.org/wiki/The_Outcasts_(novel)" xr:uid="{C6AADAAE-7F96-4486-9D0D-90C24CD79C9C}"/>
    <hyperlink ref="O114" r:id="rId55" tooltip="The Invaders (novel)" display="https://en.wikipedia.org/wiki/The_Invaders_(novel)" xr:uid="{BE7445D6-4CF0-40A5-9B5A-2B8012869B7E}"/>
    <hyperlink ref="P114" r:id="rId56" tooltip="The Hunters (Brotherband)" display="https://en.wikipedia.org/wiki/The_Hunters_(Brotherband)" xr:uid="{79697B64-5682-4541-909E-FE29B45C851E}"/>
    <hyperlink ref="Q114" r:id="rId57" tooltip="Slaves of Socorro" display="https://en.wikipedia.org/wiki/Slaves_of_Socorro" xr:uid="{A23BDD0C-86A9-40FF-84F1-5923CF8C0210}"/>
    <hyperlink ref="R114" r:id="rId58" tooltip="Scorpion Mountain" display="https://en.wikipedia.org/wiki/Scorpion_Mountain" xr:uid="{40B3076F-C803-4998-B591-00341DB7080F}"/>
    <hyperlink ref="C308" r:id="rId59" tooltip="Into the Wild (Warriors)" display="https://en.wikipedia.org/wiki/Into_the_Wild_(Warriors)" xr:uid="{2D8B84E1-BFBE-4B6E-B019-EEE003D041E2}"/>
    <hyperlink ref="D308" r:id="rId60" tooltip="Fire and Ice (Warriors)" display="https://en.wikipedia.org/wiki/Fire_and_Ice_(Warriors)" xr:uid="{4A62CA42-9726-45F0-BBD7-7C6C4D4D9D5E}"/>
    <hyperlink ref="E308" r:id="rId61" tooltip="Forest of Secrets" display="https://en.wikipedia.org/wiki/Forest_of_Secrets" xr:uid="{927104A8-D7B6-405A-9144-4350AB5AC713}"/>
    <hyperlink ref="F308" r:id="rId62" tooltip="Rising Storm (novel)" display="https://en.wikipedia.org/wiki/Rising_Storm_(novel)" xr:uid="{0D67FC45-AD70-4834-AA9D-0FE779402823}"/>
    <hyperlink ref="G308" r:id="rId63" tooltip="A Dangerous Path" display="https://en.wikipedia.org/wiki/A_Dangerous_Path" xr:uid="{32CAC07D-F600-4795-8868-014B1138E194}"/>
    <hyperlink ref="H308" r:id="rId64" tooltip="The Darkest Hour (Warriors)" display="https://en.wikipedia.org/wiki/The_Darkest_Hour_(Warriors)" xr:uid="{3022AE68-8064-4F20-A605-814A2379C97E}"/>
    <hyperlink ref="AA308" r:id="rId65" tooltip="Firestar's Quest" display="https://en.wikipedia.org/wiki/Firestar%27s_Quest" xr:uid="{11C158C2-42BF-4512-8235-F5108359BF6D}"/>
    <hyperlink ref="AB308" r:id="rId66" tooltip="Bluestar's Prophecy" display="https://en.wikipedia.org/wiki/Bluestar%27s_Prophecy" xr:uid="{3601B917-337C-4E67-AD40-0CEABA6C7B58}"/>
    <hyperlink ref="AC308" r:id="rId67" tooltip="SkyClan's Destiny" display="https://en.wikipedia.org/wiki/SkyClan%27s_Destiny" xr:uid="{53168EBB-60E0-4342-8DC8-D4CEFDA508E5}"/>
    <hyperlink ref="AD308" r:id="rId68" tooltip="Yellowfang's Secret" display="https://en.wikipedia.org/wiki/Yellowfang%27s_Secret" xr:uid="{4EB0A6C1-8B10-4041-888C-E51379C95ED1}"/>
    <hyperlink ref="AF308" r:id="rId69" tooltip="The Quest Begins" display="https://en.wikipedia.org/wiki/The_Quest_Begins" xr:uid="{642865F5-DE6A-49E0-B4D4-0D4C0A28CED7}"/>
    <hyperlink ref="AG308" r:id="rId70" tooltip="Great Bear Lake (novel)" display="https://en.wikipedia.org/wiki/Great_Bear_Lake_(novel)" xr:uid="{A23C829B-B569-42F4-B34F-ED885C5E50FD}"/>
    <hyperlink ref="AH308" r:id="rId71" tooltip="Smoke Mountain" display="https://en.wikipedia.org/wiki/Smoke_Mountain" xr:uid="{EB9BD4ED-2FC9-41CF-81C7-88028B4DB8B9}"/>
    <hyperlink ref="AI308" r:id="rId72" tooltip="The Last Wilderness" display="https://en.wikipedia.org/wiki/The_Last_Wilderness" xr:uid="{849197C1-3358-432E-B771-713B90A7AFF9}"/>
    <hyperlink ref="AJ308" r:id="rId73" tooltip="Fire in the Sky (Seekers)" display="https://en.wikipedia.org/wiki/Fire_in_the_Sky_(Seekers)" xr:uid="{1C36BF2C-7D10-4B9D-A91D-E2DA6CBBDE55}"/>
    <hyperlink ref="C55" r:id="rId74" tooltip="The Invasion (novel)" display="https://en.wikipedia.org/wiki/The_Invasion_(novel)" xr:uid="{57670F89-D27F-4B69-8084-4CA617D3B9BB}"/>
  </hyperlinks>
  <pageMargins left="0.7" right="0.7" top="0.75" bottom="0.75" header="0.3" footer="0.3"/>
  <pageSetup orientation="portrait" r:id="rId7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6A282-A01E-4C7E-8D3D-4F6BAB4A70EF}">
  <sheetPr codeName="Sheet2">
    <tabColor rgb="FF92D050"/>
  </sheetPr>
  <dimension ref="A1:U686"/>
  <sheetViews>
    <sheetView topLeftCell="A9" workbookViewId="0">
      <selection activeCell="A25" sqref="A25"/>
    </sheetView>
  </sheetViews>
  <sheetFormatPr defaultRowHeight="14.5" x14ac:dyDescent="0.35"/>
  <cols>
    <col min="1" max="1" width="32.54296875" style="1" bestFit="1" customWidth="1"/>
    <col min="4" max="4" width="16.36328125" customWidth="1"/>
    <col min="5" max="7" width="8.7265625" hidden="1" customWidth="1"/>
    <col min="8" max="9" width="8.7265625" style="7" hidden="1" customWidth="1"/>
    <col min="10" max="11" width="8.7265625" hidden="1" customWidth="1"/>
    <col min="12" max="13" width="43.26953125" hidden="1" customWidth="1"/>
    <col min="14" max="14" width="2.81640625" hidden="1" customWidth="1"/>
    <col min="15" max="15" width="11.81640625" hidden="1" customWidth="1"/>
    <col min="16" max="21" width="8.7265625" hidden="1" customWidth="1"/>
  </cols>
  <sheetData>
    <row r="1" spans="1:21" x14ac:dyDescent="0.35">
      <c r="A1" s="5" t="s">
        <v>1624</v>
      </c>
      <c r="E1" t="s">
        <v>1681</v>
      </c>
      <c r="F1" t="s">
        <v>1681</v>
      </c>
      <c r="G1" t="s">
        <v>1680</v>
      </c>
      <c r="H1" s="7" t="s">
        <v>1679</v>
      </c>
      <c r="I1" s="7" t="s">
        <v>1678</v>
      </c>
      <c r="J1" t="s">
        <v>1677</v>
      </c>
      <c r="K1" t="s">
        <v>1676</v>
      </c>
      <c r="L1" t="s">
        <v>1667</v>
      </c>
      <c r="M1" t="s">
        <v>1668</v>
      </c>
      <c r="N1" t="s">
        <v>1669</v>
      </c>
      <c r="O1" t="s">
        <v>1670</v>
      </c>
      <c r="P1" t="s">
        <v>1671</v>
      </c>
      <c r="R1" t="s">
        <v>1672</v>
      </c>
      <c r="S1" t="s">
        <v>1673</v>
      </c>
      <c r="T1" t="s">
        <v>1674</v>
      </c>
      <c r="U1" t="s">
        <v>1675</v>
      </c>
    </row>
    <row r="2" spans="1:21" ht="44.15" customHeight="1" thickBot="1" x14ac:dyDescent="0.4">
      <c r="A2" s="3">
        <f>COUNTA(books!C1:'books'!ZZ596)</f>
        <v>1222</v>
      </c>
      <c r="E2" t="s">
        <v>1635</v>
      </c>
      <c r="F2">
        <f>COUNTIF(H:H, "*A*")</f>
        <v>19</v>
      </c>
      <c r="H2" s="7" t="str" cm="1">
        <f t="array" ref="H2:H600">LEFT(K2:K600,1)</f>
        <v>L</v>
      </c>
      <c r="I2">
        <f>COUNTIF(J:J, "*A*")</f>
        <v>23</v>
      </c>
      <c r="J2" t="str" cm="1">
        <f t="array" ref="J2:J600">LEFT(L2:L600, 1)</f>
        <v>M</v>
      </c>
      <c r="K2" t="str" cm="1">
        <f t="array" ref="K2:K597">books!A1:A596</f>
        <v>L'Engle</v>
      </c>
      <c r="L2" t="str" cm="1">
        <f t="array" ref="L2:L418">_xlfn.UNIQUE(books!B1:'books'!B688)</f>
        <v>Madeline L'Engle</v>
      </c>
      <c r="M2" t="str">
        <f t="array" ref="M2">VLOOKUP(L2,books!B1,1,0)</f>
        <v>Madeline L'Engle</v>
      </c>
      <c r="N2">
        <f>COUNTA(books!C1:'books'!ZZ1)</f>
        <v>7</v>
      </c>
      <c r="O2">
        <f t="array" ref="O2">AVERAGE(rating!C1:'rating'!ZZ1)</f>
        <v>9</v>
      </c>
      <c r="P2">
        <f>SUM(COUNTIF(rating!C1:ZZ1, 10))</f>
        <v>2</v>
      </c>
      <c r="R2">
        <f>COUNTA(year!C1:ZZ1)</f>
        <v>7</v>
      </c>
      <c r="S2">
        <f>COUNTA(books!C1:ZZ1)</f>
        <v>7</v>
      </c>
      <c r="T2">
        <f>COUNTA(rating!C1:ZZ1)</f>
        <v>7</v>
      </c>
      <c r="U2">
        <f>R2-T2</f>
        <v>0</v>
      </c>
    </row>
    <row r="3" spans="1:21" ht="14.5" customHeight="1" x14ac:dyDescent="0.35">
      <c r="A3" s="5" t="s">
        <v>1625</v>
      </c>
      <c r="E3" t="s">
        <v>1644</v>
      </c>
      <c r="F3">
        <f>COUNTIF(H:H, "*b*")</f>
        <v>34</v>
      </c>
      <c r="H3" s="7" t="str">
        <v>P</v>
      </c>
      <c r="I3">
        <f>COUNTIF(J:J, "*B*")</f>
        <v>14</v>
      </c>
      <c r="J3" t="str">
        <v>C</v>
      </c>
      <c r="K3" t="str">
        <v>Paolini</v>
      </c>
      <c r="L3" t="str">
        <v>Christopher Paolini</v>
      </c>
      <c r="M3" t="str">
        <f t="array" ref="M3">VLOOKUP(L3,books!B2,1,0)</f>
        <v>Christopher Paolini</v>
      </c>
      <c r="N3">
        <f>COUNTA(books!C2:'books'!ZZ2)</f>
        <v>4</v>
      </c>
      <c r="O3">
        <f t="array" ref="O3">AVERAGE(rating!C2:'rating'!ZZ2)</f>
        <v>8.75</v>
      </c>
      <c r="P3">
        <f>SUM(COUNTIF(rating!C2:ZZ2, 10))</f>
        <v>1</v>
      </c>
      <c r="R3">
        <f>COUNTA(year!C2:ZZ2)</f>
        <v>4</v>
      </c>
      <c r="S3">
        <f>COUNTA(books!C2:ZZ2)</f>
        <v>4</v>
      </c>
      <c r="T3">
        <f>COUNTA(rating!C2:ZZ2)</f>
        <v>4</v>
      </c>
      <c r="U3">
        <f t="shared" ref="U3:U66" si="0">R3-T3</f>
        <v>0</v>
      </c>
    </row>
    <row r="4" spans="1:21" ht="44.15" customHeight="1" thickBot="1" x14ac:dyDescent="0.4">
      <c r="A4" s="2">
        <f>COUNTA(books!B1:'books'!B600)</f>
        <v>416</v>
      </c>
      <c r="E4" t="s">
        <v>1645</v>
      </c>
      <c r="F4">
        <f>COUNTIF(H:H, "*c*")</f>
        <v>43</v>
      </c>
      <c r="H4" s="7" t="str">
        <v>R</v>
      </c>
      <c r="I4">
        <f>COUNTIF(J:J, "*C*")</f>
        <v>29</v>
      </c>
      <c r="J4" t="str">
        <v>R</v>
      </c>
      <c r="K4" t="str">
        <v>Riordan</v>
      </c>
      <c r="L4" t="str">
        <v>Rick Riordan</v>
      </c>
      <c r="M4" t="str">
        <f t="array" ref="M4">VLOOKUP(L4,books!B3,1,0)</f>
        <v>Rick Riordan</v>
      </c>
      <c r="N4">
        <f>COUNTA(books!C3:'books'!ZZ3)</f>
        <v>19</v>
      </c>
      <c r="O4">
        <f t="array" ref="O4">AVERAGE(rating!C3:'rating'!ZZ3)</f>
        <v>8.7368421052631575</v>
      </c>
      <c r="P4">
        <f>SUM(COUNTIF(rating!C3:ZZ3, 10))</f>
        <v>4</v>
      </c>
      <c r="R4">
        <f>COUNTA(year!C3:ZZ3)</f>
        <v>19</v>
      </c>
      <c r="S4">
        <f>COUNTA(books!C3:ZZ3)</f>
        <v>19</v>
      </c>
      <c r="T4">
        <f>COUNTA(rating!C3:ZZ3)</f>
        <v>19</v>
      </c>
      <c r="U4">
        <f t="shared" si="0"/>
        <v>0</v>
      </c>
    </row>
    <row r="5" spans="1:21" ht="14.5" customHeight="1" x14ac:dyDescent="0.35">
      <c r="A5" s="5" t="s">
        <v>1626</v>
      </c>
      <c r="E5" t="s">
        <v>1646</v>
      </c>
      <c r="F5">
        <f>COUNTIF(H:H, "*d*")</f>
        <v>20</v>
      </c>
      <c r="H5" s="7" t="str">
        <v>J</v>
      </c>
      <c r="I5">
        <f>COUNTIF(J:J, "*D*")</f>
        <v>20</v>
      </c>
      <c r="J5" t="str">
        <v>B</v>
      </c>
      <c r="K5" t="str">
        <v>Jaques</v>
      </c>
      <c r="L5" t="str">
        <v>Brian Jaques</v>
      </c>
      <c r="M5" t="str">
        <f t="array" ref="M5">VLOOKUP(L5,books!B4,1,0)</f>
        <v>Brian Jaques</v>
      </c>
      <c r="N5">
        <f>COUNTA(books!C4:'books'!ZZ4)</f>
        <v>24</v>
      </c>
      <c r="O5">
        <f t="array" ref="O5">AVERAGE(rating!C4:'rating'!ZZ4)</f>
        <v>9.9583333333333339</v>
      </c>
      <c r="P5">
        <f>SUM(COUNTIF(rating!C4:ZZ4, 10))</f>
        <v>23</v>
      </c>
      <c r="R5">
        <f>COUNTA(year!C4:ZZ4)</f>
        <v>24</v>
      </c>
      <c r="S5">
        <f>COUNTA(books!C4:ZZ4)</f>
        <v>24</v>
      </c>
      <c r="T5">
        <f>COUNTA(rating!C4:ZZ4)</f>
        <v>24</v>
      </c>
      <c r="U5">
        <f t="shared" si="0"/>
        <v>0</v>
      </c>
    </row>
    <row r="6" spans="1:21" ht="44.15" customHeight="1" thickBot="1" x14ac:dyDescent="0.4">
      <c r="A6" s="4">
        <f>A2/A4</f>
        <v>2.9375</v>
      </c>
      <c r="E6" t="s">
        <v>1639</v>
      </c>
      <c r="F6">
        <f>COUNTIF(H:H, "*E*")</f>
        <v>12</v>
      </c>
      <c r="H6" s="7" t="str">
        <v>G</v>
      </c>
      <c r="I6">
        <f>COUNTIF(J:J, "*E*")</f>
        <v>28</v>
      </c>
      <c r="J6" t="str">
        <v>U</v>
      </c>
      <c r="K6" t="str">
        <v>Guin</v>
      </c>
      <c r="L6" t="str">
        <v>Ursula Le Guin</v>
      </c>
      <c r="M6" t="str">
        <f t="array" ref="M6">VLOOKUP(L6,books!B5,1,0)</f>
        <v>Ursula Le Guin</v>
      </c>
      <c r="N6">
        <f>COUNTA(books!C5:'books'!ZZ5)</f>
        <v>20</v>
      </c>
      <c r="O6">
        <f t="array" ref="O6">AVERAGE(rating!C5:'rating'!ZZ5)</f>
        <v>9.1999999999999993</v>
      </c>
      <c r="P6">
        <f>SUM(COUNTIF(rating!C5:ZZ5, 10))</f>
        <v>8</v>
      </c>
      <c r="R6">
        <f>COUNTA(year!C5:ZZ5)</f>
        <v>20</v>
      </c>
      <c r="S6">
        <f>COUNTA(books!C5:ZZ5)</f>
        <v>20</v>
      </c>
      <c r="T6">
        <f>COUNTA(rating!C5:ZZ5)</f>
        <v>20</v>
      </c>
      <c r="U6">
        <f t="shared" si="0"/>
        <v>0</v>
      </c>
    </row>
    <row r="7" spans="1:21" ht="14.5" customHeight="1" x14ac:dyDescent="0.35">
      <c r="A7" s="5" t="s">
        <v>1629</v>
      </c>
      <c r="E7" t="s">
        <v>1647</v>
      </c>
      <c r="F7">
        <f>COUNTIF(H:H, "*F*")</f>
        <v>21</v>
      </c>
      <c r="H7" s="7" t="str">
        <v>S</v>
      </c>
      <c r="I7">
        <f>COUNTIF(J:J, "*F*")</f>
        <v>11</v>
      </c>
      <c r="J7" t="str">
        <v>S</v>
      </c>
      <c r="K7" t="str">
        <v>Stephens-Davidowitz</v>
      </c>
      <c r="L7" t="str">
        <v>Seth Stephens-Davidowitz</v>
      </c>
      <c r="M7" t="str">
        <f t="array" ref="M7">VLOOKUP(L7,books!B6,1,0)</f>
        <v>Seth Stephens-Davidowitz</v>
      </c>
      <c r="N7">
        <f>COUNTA(books!C6:'books'!ZZ6)</f>
        <v>1</v>
      </c>
      <c r="O7">
        <f t="array" ref="O7">AVERAGE(rating!C6:'rating'!ZZ6)</f>
        <v>8</v>
      </c>
      <c r="P7">
        <f>SUM(COUNTIF(rating!C6:ZZ6, 10))</f>
        <v>0</v>
      </c>
      <c r="R7">
        <f>COUNTA(year!C6:ZZ6)</f>
        <v>1</v>
      </c>
      <c r="S7">
        <f>COUNTA(books!C6:ZZ6)</f>
        <v>1</v>
      </c>
      <c r="T7">
        <f>COUNTA(rating!C6:ZZ6)</f>
        <v>1</v>
      </c>
      <c r="U7">
        <f t="shared" si="0"/>
        <v>0</v>
      </c>
    </row>
    <row r="8" spans="1:21" ht="44.15" customHeight="1" thickBot="1" x14ac:dyDescent="0.4">
      <c r="A8" s="6">
        <f>AVERAGE(rating!C1:'rating'!ZZ599)</f>
        <v>8.5908346972176766</v>
      </c>
      <c r="D8" s="8"/>
      <c r="E8" t="s">
        <v>1648</v>
      </c>
      <c r="F8">
        <f>COUNTIF(H:H, "*G*")</f>
        <v>22</v>
      </c>
      <c r="H8" s="7" t="str">
        <v>L</v>
      </c>
      <c r="I8">
        <f>COUNTIF(J:J, "*G*")</f>
        <v>15</v>
      </c>
      <c r="J8" t="str">
        <v>C</v>
      </c>
      <c r="K8" t="str">
        <v>Lewis</v>
      </c>
      <c r="L8" t="str">
        <v>C.S. Lewis</v>
      </c>
      <c r="M8" t="str">
        <f t="array" ref="M8">VLOOKUP(L8,books!B7,1,0)</f>
        <v>C.S. Lewis</v>
      </c>
      <c r="N8">
        <f>COUNTA(books!C7:'books'!ZZ7)</f>
        <v>9</v>
      </c>
      <c r="O8">
        <f t="array" ref="O8">AVERAGE(rating!C7:'rating'!ZZ7)</f>
        <v>9.6666666666666661</v>
      </c>
      <c r="P8">
        <f>SUM(COUNTIF(rating!C7:ZZ7, 10))</f>
        <v>6</v>
      </c>
      <c r="R8">
        <f>COUNTA(year!C7:ZZ7)</f>
        <v>9</v>
      </c>
      <c r="S8">
        <f>COUNTA(books!C7:ZZ7)</f>
        <v>9</v>
      </c>
      <c r="T8">
        <f>COUNTA(rating!C7:ZZ7)</f>
        <v>9</v>
      </c>
      <c r="U8">
        <f t="shared" si="0"/>
        <v>0</v>
      </c>
    </row>
    <row r="9" spans="1:21" ht="14.5" customHeight="1" x14ac:dyDescent="0.35">
      <c r="A9" s="5" t="s">
        <v>1627</v>
      </c>
      <c r="E9" t="s">
        <v>1636</v>
      </c>
      <c r="F9">
        <f>COUNTIF(H:H, "*H*")</f>
        <v>26</v>
      </c>
      <c r="H9" s="7" t="str">
        <v>C</v>
      </c>
      <c r="I9">
        <f>COUNTIF(J:J, "*H*")</f>
        <v>13</v>
      </c>
      <c r="J9" t="str">
        <v>J</v>
      </c>
      <c r="K9" t="str">
        <v>Choung</v>
      </c>
      <c r="L9" t="str">
        <v>James Choung</v>
      </c>
      <c r="M9" t="str">
        <f t="array" ref="M9">VLOOKUP(L9,books!B8,1,0)</f>
        <v>James Choung</v>
      </c>
      <c r="N9">
        <f>COUNTA(books!C8:'books'!ZZ8)</f>
        <v>1</v>
      </c>
      <c r="O9">
        <f t="array" ref="O9">AVERAGE(rating!C8:'rating'!ZZ8)</f>
        <v>9</v>
      </c>
      <c r="P9">
        <f>SUM(COUNTIF(rating!C8:ZZ8, 10))</f>
        <v>0</v>
      </c>
      <c r="R9">
        <f>COUNTA(year!C8:ZZ8)</f>
        <v>1</v>
      </c>
      <c r="S9">
        <f>COUNTA(books!C8:ZZ8)</f>
        <v>1</v>
      </c>
      <c r="T9">
        <f>COUNTA(rating!C8:ZZ8)</f>
        <v>1</v>
      </c>
      <c r="U9">
        <f t="shared" si="0"/>
        <v>0</v>
      </c>
    </row>
    <row r="10" spans="1:21" ht="44.15" customHeight="1" thickBot="1" x14ac:dyDescent="0.4">
      <c r="A10" s="2" t="str">
        <f>_xlfn.XLOOKUP(MAX(N:N),N:N,L:L)</f>
        <v>Gertrude Warner</v>
      </c>
      <c r="E10" t="s">
        <v>1637</v>
      </c>
      <c r="F10">
        <f>COUNTIF(H:H, "*I*")</f>
        <v>3</v>
      </c>
      <c r="H10" s="7" t="str">
        <v>H</v>
      </c>
      <c r="I10">
        <f>COUNTIF(J:J, "*I*")</f>
        <v>4</v>
      </c>
      <c r="J10" t="str">
        <v>A</v>
      </c>
      <c r="K10" t="str">
        <v>Huxley</v>
      </c>
      <c r="L10" t="str">
        <v>Aldous Huxley</v>
      </c>
      <c r="M10" t="str">
        <f t="array" ref="M10">VLOOKUP(L10,books!B9,1,0)</f>
        <v>Aldous Huxley</v>
      </c>
      <c r="N10">
        <f>COUNTA(books!C9:'books'!ZZ9)</f>
        <v>2</v>
      </c>
      <c r="O10">
        <f t="array" ref="O10">AVERAGE(rating!C9:'rating'!ZZ9)</f>
        <v>8.5</v>
      </c>
      <c r="P10">
        <f>SUM(COUNTIF(rating!C9:ZZ9, 10))</f>
        <v>1</v>
      </c>
      <c r="R10">
        <f>COUNTA(year!C9:ZZ9)</f>
        <v>2</v>
      </c>
      <c r="S10">
        <f>COUNTA(books!C9:ZZ9)</f>
        <v>2</v>
      </c>
      <c r="T10">
        <f>COUNTA(rating!C9:ZZ9)</f>
        <v>2</v>
      </c>
      <c r="U10">
        <f t="shared" si="0"/>
        <v>0</v>
      </c>
    </row>
    <row r="11" spans="1:21" ht="14.5" customHeight="1" x14ac:dyDescent="0.35">
      <c r="A11" s="5" t="s">
        <v>1682</v>
      </c>
      <c r="E11" t="s">
        <v>1649</v>
      </c>
      <c r="F11">
        <f>COUNTIF(H:H, "*j*")</f>
        <v>11</v>
      </c>
      <c r="H11" s="7" t="str">
        <v>A</v>
      </c>
      <c r="I11">
        <f>COUNTIF(J:J, "*j*")</f>
        <v>51</v>
      </c>
      <c r="J11" t="str">
        <v>I</v>
      </c>
      <c r="K11" t="str">
        <v>Asimov</v>
      </c>
      <c r="L11" t="str">
        <v>Isaac Asimov</v>
      </c>
      <c r="M11" t="str">
        <f t="array" ref="M11">VLOOKUP(L11,books!B10,1,0)</f>
        <v>Isaac Asimov</v>
      </c>
      <c r="N11">
        <f>COUNTA(books!C10:'books'!ZZ10)</f>
        <v>7</v>
      </c>
      <c r="O11">
        <f t="array" ref="O11">AVERAGE(rating!C10:'rating'!ZZ10)</f>
        <v>9.5714285714285712</v>
      </c>
      <c r="P11">
        <f>SUM(COUNTIF(rating!C10:ZZ10, 10))</f>
        <v>5</v>
      </c>
      <c r="R11">
        <f>COUNTA(year!C10:ZZ10)</f>
        <v>7</v>
      </c>
      <c r="S11">
        <f>COUNTA(books!C10:ZZ10)</f>
        <v>7</v>
      </c>
      <c r="T11">
        <f>COUNTA(rating!C10:ZZ10)</f>
        <v>7</v>
      </c>
      <c r="U11">
        <f t="shared" si="0"/>
        <v>0</v>
      </c>
    </row>
    <row r="12" spans="1:21" ht="44.15" customHeight="1" thickBot="1" x14ac:dyDescent="0.4">
      <c r="A12" s="3" t="str">
        <f>_xlfn.XLOOKUP(MAX(P:P),P:P,L:L)</f>
        <v>Brian Jaques</v>
      </c>
      <c r="E12" t="s">
        <v>1650</v>
      </c>
      <c r="F12">
        <f>COUNTIF(H:H, "*K*")</f>
        <v>17</v>
      </c>
      <c r="H12" s="7" t="str">
        <v>T</v>
      </c>
      <c r="I12">
        <f>COUNTIF(J:J, "*K*")</f>
        <v>24</v>
      </c>
      <c r="J12" t="str">
        <v>J</v>
      </c>
      <c r="K12" t="str">
        <v>Tolkien</v>
      </c>
      <c r="L12" t="str">
        <v>JRR Tolkien</v>
      </c>
      <c r="M12" t="str">
        <f t="array" ref="M12">VLOOKUP(L12,books!B11,1,0)</f>
        <v>JRR Tolkien</v>
      </c>
      <c r="N12">
        <f>COUNTA(books!C11:'books'!ZZ11)</f>
        <v>6</v>
      </c>
      <c r="O12">
        <f t="array" ref="O12">AVERAGE(rating!C11:'rating'!ZZ11)</f>
        <v>9.5</v>
      </c>
      <c r="P12">
        <f>SUM(COUNTIF(rating!C11:ZZ11, 10))</f>
        <v>3</v>
      </c>
      <c r="R12">
        <f>COUNTA(year!C11:ZZ11)</f>
        <v>6</v>
      </c>
      <c r="S12">
        <f>COUNTA(books!C11:ZZ11)</f>
        <v>6</v>
      </c>
      <c r="T12">
        <f>COUNTA(rating!C11:ZZ11)</f>
        <v>6</v>
      </c>
      <c r="U12">
        <f t="shared" si="0"/>
        <v>0</v>
      </c>
    </row>
    <row r="13" spans="1:21" x14ac:dyDescent="0.35">
      <c r="A13" s="5" t="s">
        <v>1632</v>
      </c>
      <c r="E13" t="s">
        <v>1634</v>
      </c>
      <c r="F13">
        <f>COUNTIF(H:H, "*L*")</f>
        <v>30</v>
      </c>
      <c r="H13" s="7" t="str">
        <v>C</v>
      </c>
      <c r="I13">
        <f>COUNTIF(J:J, "*L*")</f>
        <v>25</v>
      </c>
      <c r="J13" t="str">
        <v>S</v>
      </c>
      <c r="K13" t="str">
        <v>Cooper</v>
      </c>
      <c r="L13" t="str">
        <v>Susan Cooper</v>
      </c>
      <c r="M13" t="str">
        <f t="array" ref="M13">VLOOKUP(L13,books!B12,1,0)</f>
        <v>Susan Cooper</v>
      </c>
      <c r="N13">
        <f>COUNTA(books!C12:'books'!ZZ12)</f>
        <v>7</v>
      </c>
      <c r="O13">
        <f t="array" ref="O13">AVERAGE(rating!C12:'rating'!ZZ12)</f>
        <v>9.4285714285714288</v>
      </c>
      <c r="P13">
        <f>SUM(COUNTIF(rating!C12:ZZ12, 10))</f>
        <v>3</v>
      </c>
      <c r="R13">
        <f>COUNTA(year!C12:ZZ12)</f>
        <v>7</v>
      </c>
      <c r="S13">
        <f>COUNTA(books!C12:ZZ12)</f>
        <v>7</v>
      </c>
      <c r="T13">
        <f>COUNTA(rating!C12:ZZ12)</f>
        <v>7</v>
      </c>
      <c r="U13">
        <f t="shared" si="0"/>
        <v>0</v>
      </c>
    </row>
    <row r="14" spans="1:21" ht="44.15" customHeight="1" x14ac:dyDescent="0.35">
      <c r="A14" s="3" t="str" cm="1">
        <f t="array" ref="A14">_xlfn.XLOOKUP(MIN(IF(ISNUMBER(O:O),IF(O:O&gt;0,O:O))),O:O,L:L,0)</f>
        <v>Jim Fergus</v>
      </c>
      <c r="E14" t="s">
        <v>1651</v>
      </c>
      <c r="F14">
        <f>COUNTIF(H:H, "*M*")</f>
        <v>28</v>
      </c>
      <c r="H14" s="7" t="str">
        <v>S</v>
      </c>
      <c r="I14">
        <f>COUNTIF(J:J, "*M*")</f>
        <v>35</v>
      </c>
      <c r="J14" t="str">
        <v>A</v>
      </c>
      <c r="K14" t="str">
        <v>Sage</v>
      </c>
      <c r="L14" t="str">
        <v>Angie Sage</v>
      </c>
      <c r="M14" t="str">
        <f t="array" ref="M14">VLOOKUP(L14,books!B13,1,0)</f>
        <v>Angie Sage</v>
      </c>
      <c r="N14">
        <f>COUNTA(books!C13:'books'!ZZ13)</f>
        <v>10</v>
      </c>
      <c r="O14">
        <f t="array" ref="O14">AVERAGE(rating!C13:'rating'!ZZ13)</f>
        <v>9.5</v>
      </c>
      <c r="P14">
        <f>SUM(COUNTIF(rating!C13:ZZ13, 10))</f>
        <v>5</v>
      </c>
      <c r="R14">
        <f>COUNTA(year!C13:ZZ13)</f>
        <v>10</v>
      </c>
      <c r="S14">
        <f>COUNTA(books!C13:ZZ13)</f>
        <v>10</v>
      </c>
      <c r="T14">
        <f>COUNTA(rating!C13:ZZ13)</f>
        <v>10</v>
      </c>
      <c r="U14">
        <f t="shared" si="0"/>
        <v>0</v>
      </c>
    </row>
    <row r="15" spans="1:21" ht="14.5" customHeight="1" thickBot="1" x14ac:dyDescent="0.4">
      <c r="A15" s="9" t="str">
        <f>_xlfn.CONCAT("Sorry ",TRIM(LEFT(SUBSTITUTE(A14," ",REPT(" ",LEN(A14))),LEN(A14))),"! 😬")</f>
        <v>Sorry Jim! 😬</v>
      </c>
      <c r="E15" t="s">
        <v>1642</v>
      </c>
      <c r="F15">
        <f>COUNTIF(H:H, "*N*")</f>
        <v>6</v>
      </c>
      <c r="H15" s="7" t="str">
        <v>L</v>
      </c>
      <c r="I15">
        <f>COUNTIF(J:J, "*N*")</f>
        <v>14</v>
      </c>
      <c r="J15" t="str">
        <v>I</v>
      </c>
      <c r="K15" t="str">
        <v>Law</v>
      </c>
      <c r="L15" t="str">
        <v>Ingrid Law</v>
      </c>
      <c r="M15" t="str">
        <f t="array" ref="M15">VLOOKUP(L15,books!B14,1,0)</f>
        <v>Ingrid Law</v>
      </c>
      <c r="N15">
        <f>COUNTA(books!C14:'books'!ZZ14)</f>
        <v>2</v>
      </c>
      <c r="O15">
        <f t="array" ref="O15">AVERAGE(rating!C14:'rating'!ZZ14)</f>
        <v>8</v>
      </c>
      <c r="P15">
        <f>SUM(COUNTIF(rating!C14:ZZ14, 10))</f>
        <v>0</v>
      </c>
      <c r="R15">
        <f>COUNTA(year!C14:ZZ14)</f>
        <v>2</v>
      </c>
      <c r="S15">
        <f>COUNTA(books!C14:ZZ14)</f>
        <v>2</v>
      </c>
      <c r="T15">
        <f>COUNTA(rating!C14:ZZ14)</f>
        <v>2</v>
      </c>
      <c r="U15">
        <f t="shared" si="0"/>
        <v>0</v>
      </c>
    </row>
    <row r="16" spans="1:21" ht="14.5" customHeight="1" x14ac:dyDescent="0.35">
      <c r="A16" s="5" t="s">
        <v>1630</v>
      </c>
      <c r="E16" t="s">
        <v>1643</v>
      </c>
      <c r="F16">
        <f>COUNTIF(H:H, "*O*")</f>
        <v>7</v>
      </c>
      <c r="H16" s="7" t="str">
        <v>H</v>
      </c>
      <c r="I16">
        <f>COUNTIF(J:J, "*O*")</f>
        <v>3</v>
      </c>
      <c r="J16" t="str">
        <v>F</v>
      </c>
      <c r="K16" t="str">
        <v>Herbert</v>
      </c>
      <c r="L16" t="str">
        <v>Frank Herbert</v>
      </c>
      <c r="M16" t="str">
        <f t="array" ref="M16">VLOOKUP(L16,books!B15,1,0)</f>
        <v>Frank Herbert</v>
      </c>
      <c r="N16">
        <f>COUNTA(books!C15:'books'!ZZ15)</f>
        <v>7</v>
      </c>
      <c r="O16">
        <f t="array" ref="O16">AVERAGE(rating!C15:'rating'!ZZ15)</f>
        <v>8.2857142857142865</v>
      </c>
      <c r="P16">
        <f>SUM(COUNTIF(rating!C15:ZZ15, 10))</f>
        <v>0</v>
      </c>
      <c r="R16">
        <f>COUNTA(year!C15:ZZ15)</f>
        <v>7</v>
      </c>
      <c r="S16">
        <f>COUNTA(books!C15:ZZ15)</f>
        <v>7</v>
      </c>
      <c r="T16">
        <f>COUNTA(rating!C15:ZZ15)</f>
        <v>7</v>
      </c>
      <c r="U16">
        <f t="shared" si="0"/>
        <v>0</v>
      </c>
    </row>
    <row r="17" spans="1:21" ht="44.5" customHeight="1" thickBot="1" x14ac:dyDescent="0.4">
      <c r="A17" s="2">
        <f>_xlfn.MODE.SNGL(year!C1:'year'!ZZ599)</f>
        <v>2008</v>
      </c>
      <c r="B17">
        <f>COUNTIF(year!C2:'year'!ZZ600,2008)</f>
        <v>144</v>
      </c>
      <c r="E17" t="s">
        <v>1652</v>
      </c>
      <c r="F17">
        <f>COUNTIF(H:H, "*P*")</f>
        <v>19</v>
      </c>
      <c r="H17" s="7" t="str">
        <v>H</v>
      </c>
      <c r="I17">
        <f>COUNTIF(J:J, "*P*")</f>
        <v>16</v>
      </c>
      <c r="J17" t="str">
        <v>K</v>
      </c>
      <c r="K17" t="str">
        <v>Herbert</v>
      </c>
      <c r="L17" t="str">
        <v>Kevin Anderson &amp; Brian Herbert</v>
      </c>
      <c r="M17" t="str">
        <f t="array" ref="M17">VLOOKUP(L17,books!B16,1,0)</f>
        <v>Kevin Anderson &amp; Brian Herbert</v>
      </c>
      <c r="N17">
        <f>COUNTA(books!C16:'books'!ZZ16)</f>
        <v>11</v>
      </c>
      <c r="O17">
        <f t="array" ref="O17">AVERAGE(rating!C16:'rating'!ZZ16)</f>
        <v>8.454545454545455</v>
      </c>
      <c r="P17">
        <f>SUM(COUNTIF(rating!C16:ZZ16, 10))</f>
        <v>3</v>
      </c>
      <c r="R17">
        <f>COUNTA(year!C16:ZZ16)</f>
        <v>11</v>
      </c>
      <c r="S17">
        <f>COUNTA(books!C16:ZZ16)</f>
        <v>11</v>
      </c>
      <c r="T17">
        <f>COUNTA(rating!C16:ZZ16)</f>
        <v>11</v>
      </c>
      <c r="U17">
        <f t="shared" si="0"/>
        <v>0</v>
      </c>
    </row>
    <row r="18" spans="1:21" ht="14.5" customHeight="1" x14ac:dyDescent="0.35">
      <c r="A18" s="5" t="s">
        <v>1631</v>
      </c>
      <c r="E18" t="s">
        <v>1653</v>
      </c>
      <c r="F18">
        <f>COUNTIF(H:H, "*Q*")</f>
        <v>0</v>
      </c>
      <c r="H18" s="7" t="str">
        <v>D</v>
      </c>
      <c r="I18">
        <f>COUNTIF(J:J, "*Q*")</f>
        <v>0</v>
      </c>
      <c r="J18" t="str">
        <v>J</v>
      </c>
      <c r="K18" t="str">
        <v>Dashner</v>
      </c>
      <c r="L18" t="str">
        <v>James Dashner</v>
      </c>
      <c r="M18" t="str">
        <f t="array" ref="M18">VLOOKUP(L18,books!B17,1,0)</f>
        <v>James Dashner</v>
      </c>
      <c r="N18">
        <f>COUNTA(books!C17:'books'!ZZ17)</f>
        <v>12</v>
      </c>
      <c r="O18">
        <f t="array" ref="O18">AVERAGE(rating!C17:'rating'!ZZ17)</f>
        <v>8.4166666666666661</v>
      </c>
      <c r="P18">
        <f>SUM(COUNTIF(rating!C17:ZZ17, 10))</f>
        <v>1</v>
      </c>
      <c r="R18">
        <f>COUNTA(year!C17:ZZ17)</f>
        <v>12</v>
      </c>
      <c r="S18">
        <f>COUNTA(books!C17:ZZ17)</f>
        <v>12</v>
      </c>
      <c r="T18">
        <f>COUNTA(rating!C17:ZZ17)</f>
        <v>12</v>
      </c>
      <c r="U18">
        <f t="shared" si="0"/>
        <v>0</v>
      </c>
    </row>
    <row r="19" spans="1:21" ht="44.5" customHeight="1" thickBot="1" x14ac:dyDescent="0.4">
      <c r="A19" s="6">
        <f>AVERAGE(year!C1:'year'!ZZ599)</f>
        <v>2009.663666121113</v>
      </c>
      <c r="E19" t="s">
        <v>1638</v>
      </c>
      <c r="F19">
        <f>COUNTIF(H:H, "*r*")</f>
        <v>6</v>
      </c>
      <c r="H19" s="7" t="str">
        <v>H</v>
      </c>
      <c r="I19">
        <f>COUNTIF(J:J, "*R*")</f>
        <v>27</v>
      </c>
      <c r="J19" t="str">
        <v>M</v>
      </c>
      <c r="K19" t="str">
        <v>Haddix</v>
      </c>
      <c r="L19" t="str">
        <v>Margaret Peterson Haddix</v>
      </c>
      <c r="M19" t="str">
        <f t="array" ref="M19">VLOOKUP(L19,books!B18,1,0)</f>
        <v>Margaret Peterson Haddix</v>
      </c>
      <c r="N19">
        <f>COUNTA(books!C18:'books'!ZZ18)</f>
        <v>23</v>
      </c>
      <c r="O19">
        <f t="array" ref="O19">AVERAGE(rating!C18:'rating'!ZZ18)</f>
        <v>8.9130434782608692</v>
      </c>
      <c r="P19">
        <f>SUM(COUNTIF(rating!C18:ZZ18, 10))</f>
        <v>8</v>
      </c>
      <c r="R19">
        <f>COUNTA(year!C18:ZZ18)</f>
        <v>23</v>
      </c>
      <c r="S19">
        <f>COUNTA(books!C18:ZZ18)</f>
        <v>23</v>
      </c>
      <c r="T19">
        <f>COUNTA(rating!C18:ZZ18)</f>
        <v>23</v>
      </c>
      <c r="U19">
        <f t="shared" si="0"/>
        <v>0</v>
      </c>
    </row>
    <row r="20" spans="1:21" ht="14.5" customHeight="1" x14ac:dyDescent="0.35">
      <c r="A20" s="5" t="s">
        <v>1660</v>
      </c>
      <c r="E20" t="s">
        <v>1654</v>
      </c>
      <c r="F20">
        <f>COUNTIF(H:H, "*t*")</f>
        <v>13</v>
      </c>
      <c r="H20" s="7" t="str">
        <v>M</v>
      </c>
      <c r="I20">
        <f>COUNTIF(J:J, "*S")</f>
        <v>27</v>
      </c>
      <c r="J20" t="str">
        <v>D</v>
      </c>
      <c r="K20" t="str">
        <v>MacHale</v>
      </c>
      <c r="L20" t="str">
        <v>D.J. MacHale</v>
      </c>
      <c r="M20" t="str">
        <f t="array" ref="M20">VLOOKUP(L20,books!B19,1,0)</f>
        <v>D.J. MacHale</v>
      </c>
      <c r="N20">
        <f>COUNTA(books!C19:'books'!ZZ19)</f>
        <v>10</v>
      </c>
      <c r="O20">
        <f t="array" ref="O20">AVERAGE(rating!C19:'rating'!ZZ19)</f>
        <v>8.9</v>
      </c>
      <c r="P20">
        <f>SUM(COUNTIF(rating!C19:ZZ19, 10))</f>
        <v>2</v>
      </c>
      <c r="R20">
        <f>COUNTA(year!C19:ZZ19)</f>
        <v>10</v>
      </c>
      <c r="S20">
        <f>COUNTA(books!C19:ZZ19)</f>
        <v>10</v>
      </c>
      <c r="T20">
        <f>COUNTA(rating!C19:ZZ19)</f>
        <v>10</v>
      </c>
      <c r="U20">
        <f t="shared" si="0"/>
        <v>0</v>
      </c>
    </row>
    <row r="21" spans="1:21" ht="44.5" customHeight="1" thickBot="1" x14ac:dyDescent="0.4">
      <c r="A21" s="2" t="str">
        <f>_xlfn.XLOOKUP(MAX(F:F),F:F,E:E)</f>
        <v>S</v>
      </c>
      <c r="E21" t="s">
        <v>1641</v>
      </c>
      <c r="F21">
        <f>COUNTIF(H:H, "*u*")</f>
        <v>2</v>
      </c>
      <c r="H21" s="7" t="str">
        <v>Z</v>
      </c>
      <c r="I21">
        <f>COUNTIF(J:J, "*T*")</f>
        <v>19</v>
      </c>
      <c r="J21" t="str">
        <v>M</v>
      </c>
      <c r="K21" t="str">
        <v>Zuzak</v>
      </c>
      <c r="L21" t="str">
        <v>Markus Zuzak</v>
      </c>
      <c r="M21" t="str">
        <f t="array" ref="M21">VLOOKUP(L21,books!B20,1,0)</f>
        <v>Markus Zuzak</v>
      </c>
      <c r="N21">
        <f>COUNTA(books!C20:'books'!ZZ20)</f>
        <v>2</v>
      </c>
      <c r="O21">
        <f t="array" ref="O21">AVERAGE(rating!C20:'rating'!ZZ20)</f>
        <v>10</v>
      </c>
      <c r="P21">
        <f>SUM(COUNTIF(rating!C20:ZZ20, 10))</f>
        <v>2</v>
      </c>
      <c r="R21">
        <f>COUNTA(year!C20:ZZ20)</f>
        <v>2</v>
      </c>
      <c r="S21">
        <f>COUNTA(books!C20:ZZ20)</f>
        <v>2</v>
      </c>
      <c r="T21">
        <f>COUNTA(rating!C20:ZZ20)</f>
        <v>2</v>
      </c>
      <c r="U21">
        <f t="shared" si="0"/>
        <v>0</v>
      </c>
    </row>
    <row r="22" spans="1:21" ht="14.5" customHeight="1" x14ac:dyDescent="0.35">
      <c r="A22" s="5" t="s">
        <v>1661</v>
      </c>
      <c r="E22" t="s">
        <v>1655</v>
      </c>
      <c r="F22">
        <f>COUNTIF(H:H, "*v*")</f>
        <v>4</v>
      </c>
      <c r="H22" s="7" t="str">
        <v>C</v>
      </c>
      <c r="I22">
        <f>COUNTIF(J:J, "*U*")</f>
        <v>2</v>
      </c>
      <c r="J22" t="str">
        <v>S</v>
      </c>
      <c r="K22" t="str">
        <v>Collins</v>
      </c>
      <c r="L22" t="str">
        <v>Suzanne Collins</v>
      </c>
      <c r="M22" t="str">
        <f t="array" ref="M22">VLOOKUP(L22,books!B21,1,0)</f>
        <v>Suzanne Collins</v>
      </c>
      <c r="N22">
        <f>COUNTA(books!C21:'books'!ZZ21)</f>
        <v>8</v>
      </c>
      <c r="O22">
        <f t="array" ref="O22">AVERAGE(rating!C21:'rating'!ZZ21)</f>
        <v>8.75</v>
      </c>
      <c r="P22">
        <f>SUM(COUNTIF(rating!C21:ZZ21, 10))</f>
        <v>0</v>
      </c>
      <c r="R22">
        <f>COUNTA(year!C21:ZZ21)</f>
        <v>8</v>
      </c>
      <c r="S22">
        <f>COUNTA(books!C21:ZZ21)</f>
        <v>8</v>
      </c>
      <c r="T22">
        <f>COUNTA(rating!C21:ZZ21)</f>
        <v>8</v>
      </c>
      <c r="U22">
        <f t="shared" si="0"/>
        <v>0</v>
      </c>
    </row>
    <row r="23" spans="1:21" ht="44.5" customHeight="1" thickBot="1" x14ac:dyDescent="0.4">
      <c r="A23" s="3" t="str">
        <f>_xlfn.XLOOKUP(MAX(I:I),I:I,E:E)</f>
        <v>J</v>
      </c>
      <c r="E23" t="s">
        <v>1656</v>
      </c>
      <c r="F23">
        <f>COUNTIF(H:H, "*w*")</f>
        <v>22</v>
      </c>
      <c r="H23" s="7" t="str">
        <v>L</v>
      </c>
      <c r="I23">
        <f>COUNTIF(J:J, "*V*")</f>
        <v>0</v>
      </c>
      <c r="J23" t="str">
        <v>L</v>
      </c>
      <c r="K23" t="str">
        <v>Lowry</v>
      </c>
      <c r="L23" t="str">
        <v>Lois Lowry</v>
      </c>
      <c r="M23" t="str">
        <f t="array" ref="M23">VLOOKUP(L23,books!B22,1,0)</f>
        <v>Lois Lowry</v>
      </c>
      <c r="N23">
        <f>COUNTA(books!C22:'books'!ZZ22)</f>
        <v>6</v>
      </c>
      <c r="O23">
        <f t="array" ref="O23">AVERAGE(rating!C22:'rating'!ZZ22)</f>
        <v>9.3333333333333339</v>
      </c>
      <c r="P23">
        <f>SUM(COUNTIF(rating!C22:ZZ22, 10))</f>
        <v>3</v>
      </c>
      <c r="R23">
        <f>COUNTA(year!C22:ZZ22)</f>
        <v>6</v>
      </c>
      <c r="S23">
        <f>COUNTA(books!C22:ZZ22)</f>
        <v>6</v>
      </c>
      <c r="T23">
        <f>COUNTA(rating!C22:ZZ22)</f>
        <v>6</v>
      </c>
      <c r="U23">
        <f t="shared" si="0"/>
        <v>0</v>
      </c>
    </row>
    <row r="24" spans="1:21" ht="14.5" customHeight="1" x14ac:dyDescent="0.35">
      <c r="A24" s="5" t="s">
        <v>1688</v>
      </c>
      <c r="E24" t="s">
        <v>1657</v>
      </c>
      <c r="F24">
        <f>COUNTIF(H:H, "*x*")</f>
        <v>0</v>
      </c>
      <c r="H24" s="7" t="str">
        <v>F</v>
      </c>
      <c r="I24">
        <f>COUNTIF(J:J, "*W*")</f>
        <v>18</v>
      </c>
      <c r="J24" t="str">
        <v>C</v>
      </c>
      <c r="K24" t="str">
        <v>Funke</v>
      </c>
      <c r="L24" t="str">
        <v>Cornelia Funke</v>
      </c>
      <c r="M24" t="str">
        <f t="array" ref="M24">VLOOKUP(L24,books!B23,1,0)</f>
        <v>Cornelia Funke</v>
      </c>
      <c r="N24">
        <f>COUNTA(books!C23:'books'!ZZ23)</f>
        <v>6</v>
      </c>
      <c r="O24">
        <f t="array" ref="O24">AVERAGE(rating!C23:'rating'!ZZ23)</f>
        <v>9</v>
      </c>
      <c r="P24">
        <f>SUM(COUNTIF(rating!C23:ZZ23, 10))</f>
        <v>3</v>
      </c>
      <c r="R24">
        <f>COUNTA(year!C23:ZZ23)</f>
        <v>6</v>
      </c>
      <c r="S24">
        <f>COUNTA(books!C23:ZZ23)</f>
        <v>6</v>
      </c>
      <c r="T24">
        <f>COUNTA(rating!C23:ZZ23)</f>
        <v>6</v>
      </c>
      <c r="U24">
        <f t="shared" si="0"/>
        <v>0</v>
      </c>
    </row>
    <row r="25" spans="1:21" ht="44.5" customHeight="1" thickBot="1" x14ac:dyDescent="0.4">
      <c r="A25" s="2">
        <f>COUNTIF(year!C2:'year'!ZZ600,MAX(year!C2:'year'!ZZ600))</f>
        <v>51</v>
      </c>
      <c r="E25" t="s">
        <v>1658</v>
      </c>
      <c r="F25">
        <f>COUNTIF(H:H, "*y*")</f>
        <v>3</v>
      </c>
      <c r="H25" s="7" t="str">
        <v>S</v>
      </c>
      <c r="I25">
        <f>COUNTIF(J:J, "*X*")</f>
        <v>0</v>
      </c>
      <c r="J25" t="str">
        <v>B</v>
      </c>
      <c r="K25" t="str">
        <v>Sanderson</v>
      </c>
      <c r="L25" t="str">
        <v>Brian Sanderson</v>
      </c>
      <c r="M25" t="str">
        <f t="array" ref="M25">VLOOKUP(L25,books!B24,1,0)</f>
        <v>Brian Sanderson</v>
      </c>
      <c r="N25">
        <f>COUNTA(books!C24:'books'!ZZ24)</f>
        <v>3</v>
      </c>
      <c r="O25">
        <f t="array" ref="O25">AVERAGE(rating!C24:'rating'!ZZ24)</f>
        <v>10</v>
      </c>
      <c r="P25">
        <f>SUM(COUNTIF(rating!C24:ZZ24, 10))</f>
        <v>3</v>
      </c>
      <c r="R25">
        <f>COUNTA(year!C24:ZZ24)</f>
        <v>3</v>
      </c>
      <c r="S25">
        <f>COUNTA(books!C24:ZZ24)</f>
        <v>3</v>
      </c>
      <c r="T25">
        <f>COUNTA(rating!C24:ZZ24)</f>
        <v>3</v>
      </c>
      <c r="U25">
        <f t="shared" si="0"/>
        <v>0</v>
      </c>
    </row>
    <row r="26" spans="1:21" x14ac:dyDescent="0.35">
      <c r="E26" t="s">
        <v>1659</v>
      </c>
      <c r="F26">
        <f>COUNTIF(H:H, "*z*")</f>
        <v>4</v>
      </c>
      <c r="H26" s="7" t="str">
        <v>S</v>
      </c>
      <c r="I26">
        <f>COUNTIF(J:J, "*Y*")</f>
        <v>1</v>
      </c>
      <c r="J26" t="str">
        <v>C</v>
      </c>
      <c r="K26" t="str">
        <v>Stross</v>
      </c>
      <c r="L26" t="str">
        <v>Charles Stross</v>
      </c>
      <c r="M26" t="str">
        <f t="array" ref="M26">VLOOKUP(L26,books!B25,1,0)</f>
        <v>Charles Stross</v>
      </c>
      <c r="N26">
        <f>COUNTA(books!C25:'books'!ZZ25)</f>
        <v>11</v>
      </c>
      <c r="O26">
        <f t="array" ref="O26">AVERAGE(rating!C25:'rating'!ZZ25)</f>
        <v>9.7272727272727266</v>
      </c>
      <c r="P26">
        <f>SUM(COUNTIF(rating!C25:ZZ25, 10))</f>
        <v>9</v>
      </c>
      <c r="R26">
        <f>COUNTA(year!C25:ZZ25)</f>
        <v>11</v>
      </c>
      <c r="S26">
        <f>COUNTA(books!C25:ZZ25)</f>
        <v>11</v>
      </c>
      <c r="T26">
        <f>COUNTA(rating!C25:ZZ25)</f>
        <v>11</v>
      </c>
      <c r="U26">
        <f t="shared" si="0"/>
        <v>0</v>
      </c>
    </row>
    <row r="27" spans="1:21" x14ac:dyDescent="0.35">
      <c r="E27" t="s">
        <v>1640</v>
      </c>
      <c r="F27">
        <f>COUNTIF(H:H, "*s*")</f>
        <v>49</v>
      </c>
      <c r="H27" s="7" t="str">
        <v>B</v>
      </c>
      <c r="I27">
        <f>COUNTIF(J:J, "*Z*")</f>
        <v>2</v>
      </c>
      <c r="J27" t="str">
        <v>R</v>
      </c>
      <c r="K27" t="str">
        <v>Barry</v>
      </c>
      <c r="L27" t="str">
        <v>Ridley Pearson and Dave Barry</v>
      </c>
      <c r="M27" t="str">
        <f t="array" ref="M27">VLOOKUP(L27,books!B26,1,0)</f>
        <v>Ridley Pearson and Dave Barry</v>
      </c>
      <c r="N27">
        <f>COUNTA(books!C26:'books'!ZZ26)</f>
        <v>4</v>
      </c>
      <c r="O27">
        <f t="array" ref="O27">AVERAGE(rating!C26:'rating'!ZZ26)</f>
        <v>9.5</v>
      </c>
      <c r="P27">
        <f>SUM(COUNTIF(rating!C26:ZZ26, 10))</f>
        <v>2</v>
      </c>
      <c r="R27">
        <f>COUNTA(year!C26:ZZ26)</f>
        <v>4</v>
      </c>
      <c r="S27">
        <f>COUNTA(books!C26:ZZ26)</f>
        <v>4</v>
      </c>
      <c r="T27">
        <f>COUNTA(rating!C26:ZZ26)</f>
        <v>4</v>
      </c>
      <c r="U27">
        <f t="shared" si="0"/>
        <v>0</v>
      </c>
    </row>
    <row r="28" spans="1:21" x14ac:dyDescent="0.35">
      <c r="H28" s="7" t="str">
        <v>R</v>
      </c>
      <c r="J28" t="str">
        <v>J</v>
      </c>
      <c r="K28" t="str">
        <v>Rowling</v>
      </c>
      <c r="L28" t="str">
        <v>J.K. Rowling</v>
      </c>
      <c r="M28" t="str">
        <f t="array" ref="M28">VLOOKUP(L28,books!B27,1,0)</f>
        <v>J.K. Rowling</v>
      </c>
      <c r="N28">
        <f>COUNTA(books!C27:'books'!ZZ27)</f>
        <v>7</v>
      </c>
      <c r="O28">
        <f t="array" ref="O28">AVERAGE(rating!C27:'rating'!ZZ27)</f>
        <v>8.4285714285714288</v>
      </c>
      <c r="P28">
        <f>SUM(COUNTIF(rating!C27:ZZ27, 10))</f>
        <v>0</v>
      </c>
      <c r="R28">
        <f>COUNTA(year!C27:ZZ27)</f>
        <v>7</v>
      </c>
      <c r="S28">
        <f>COUNTA(books!C27:ZZ27)</f>
        <v>7</v>
      </c>
      <c r="T28">
        <f>COUNTA(rating!C27:ZZ27)</f>
        <v>7</v>
      </c>
      <c r="U28">
        <f t="shared" si="0"/>
        <v>0</v>
      </c>
    </row>
    <row r="29" spans="1:21" x14ac:dyDescent="0.35">
      <c r="H29" s="7" t="str">
        <v>M</v>
      </c>
      <c r="J29" t="str">
        <v>A</v>
      </c>
      <c r="K29" t="str">
        <v>McCaffrey</v>
      </c>
      <c r="L29" t="str">
        <v>Anne McCaffrey</v>
      </c>
      <c r="M29" t="str">
        <f t="array" ref="M29">VLOOKUP(L29,books!B28,1,0)</f>
        <v>Anne McCaffrey</v>
      </c>
      <c r="N29">
        <f>COUNTA(books!C28:'books'!ZZ28)</f>
        <v>7</v>
      </c>
      <c r="O29">
        <f t="array" ref="O29">AVERAGE(rating!C28:'rating'!ZZ28)</f>
        <v>9.1428571428571423</v>
      </c>
      <c r="P29">
        <f>SUM(COUNTIF(rating!C28:ZZ28, 10))</f>
        <v>1</v>
      </c>
      <c r="R29">
        <f>COUNTA(year!C28:ZZ28)</f>
        <v>7</v>
      </c>
      <c r="S29">
        <f>COUNTA(books!C28:ZZ28)</f>
        <v>7</v>
      </c>
      <c r="T29">
        <f>COUNTA(rating!C28:ZZ28)</f>
        <v>7</v>
      </c>
      <c r="U29">
        <f t="shared" si="0"/>
        <v>0</v>
      </c>
    </row>
    <row r="30" spans="1:21" x14ac:dyDescent="0.35">
      <c r="H30" s="7" t="str">
        <v>C</v>
      </c>
      <c r="J30" t="str">
        <v>A</v>
      </c>
      <c r="K30" t="str">
        <v>Clements</v>
      </c>
      <c r="L30" t="str">
        <v>Andrew Clements</v>
      </c>
      <c r="M30" t="str">
        <f t="array" ref="M30">VLOOKUP(L30,books!B29,1,0)</f>
        <v>Andrew Clements</v>
      </c>
      <c r="N30">
        <f>COUNTA(books!C29:'books'!ZZ29)</f>
        <v>6</v>
      </c>
      <c r="O30">
        <f t="array" ref="O30">AVERAGE(rating!C29:'rating'!ZZ29)</f>
        <v>9.1666666666666661</v>
      </c>
      <c r="P30">
        <f>SUM(COUNTIF(rating!C29:ZZ29, 10))</f>
        <v>3</v>
      </c>
      <c r="R30">
        <f>COUNTA(year!C29:ZZ29)</f>
        <v>6</v>
      </c>
      <c r="S30">
        <f>COUNTA(books!C29:ZZ29)</f>
        <v>6</v>
      </c>
      <c r="T30">
        <f>COUNTA(rating!C29:ZZ29)</f>
        <v>6</v>
      </c>
      <c r="U30">
        <f t="shared" si="0"/>
        <v>0</v>
      </c>
    </row>
    <row r="31" spans="1:21" x14ac:dyDescent="0.35">
      <c r="H31" s="7" t="str">
        <v>O</v>
      </c>
      <c r="J31" t="str">
        <v>R</v>
      </c>
      <c r="K31" t="str">
        <v>O'Brien</v>
      </c>
      <c r="L31" t="str">
        <v>Robert O'Brien</v>
      </c>
      <c r="M31" t="str">
        <f t="array" ref="M31">VLOOKUP(L31,books!B30,1,0)</f>
        <v>Robert O'Brien</v>
      </c>
      <c r="N31">
        <f>COUNTA(books!C30:'books'!ZZ30)</f>
        <v>1</v>
      </c>
      <c r="O31">
        <f t="array" ref="O31">AVERAGE(rating!C30:'rating'!ZZ30)</f>
        <v>9</v>
      </c>
      <c r="P31">
        <f>SUM(COUNTIF(rating!C30:ZZ30, 10))</f>
        <v>0</v>
      </c>
      <c r="R31">
        <f>COUNTA(year!C30:ZZ30)</f>
        <v>1</v>
      </c>
      <c r="S31">
        <f>COUNTA(books!C30:ZZ30)</f>
        <v>1</v>
      </c>
      <c r="T31">
        <f>COUNTA(rating!C30:ZZ30)</f>
        <v>1</v>
      </c>
      <c r="U31">
        <f t="shared" si="0"/>
        <v>0</v>
      </c>
    </row>
    <row r="32" spans="1:21" x14ac:dyDescent="0.35">
      <c r="H32" s="7" t="str">
        <v>B</v>
      </c>
      <c r="J32" t="str">
        <v>L</v>
      </c>
      <c r="K32" t="str">
        <v>Braun</v>
      </c>
      <c r="L32" t="str">
        <v>Lillian Jackson Braun</v>
      </c>
      <c r="M32" t="str">
        <f t="array" ref="M32">VLOOKUP(L32,books!B31,1,0)</f>
        <v>Lillian Jackson Braun</v>
      </c>
      <c r="N32">
        <f>COUNTA(books!C31:'books'!ZZ31)</f>
        <v>7</v>
      </c>
      <c r="O32">
        <f t="array" ref="O32">AVERAGE(rating!C31:'rating'!ZZ31)</f>
        <v>8</v>
      </c>
      <c r="P32">
        <f>SUM(COUNTIF(rating!C31:ZZ31, 10))</f>
        <v>0</v>
      </c>
      <c r="R32">
        <f>COUNTA(year!C31:ZZ31)</f>
        <v>7</v>
      </c>
      <c r="S32">
        <f>COUNTA(books!C31:ZZ31)</f>
        <v>7</v>
      </c>
      <c r="T32">
        <f>COUNTA(rating!C31:ZZ31)</f>
        <v>7</v>
      </c>
      <c r="U32">
        <f t="shared" si="0"/>
        <v>0</v>
      </c>
    </row>
    <row r="33" spans="8:21" x14ac:dyDescent="0.35">
      <c r="H33" s="7" t="str">
        <v>E</v>
      </c>
      <c r="J33" t="str">
        <v>E</v>
      </c>
      <c r="K33" t="str">
        <v>Enright</v>
      </c>
      <c r="L33" t="str">
        <v>Elizabeth Enright</v>
      </c>
      <c r="M33" t="str">
        <f t="array" ref="M33">VLOOKUP(L33,books!B32,1,0)</f>
        <v>Elizabeth Enright</v>
      </c>
      <c r="N33">
        <f>COUNTA(books!C32:'books'!ZZ32)</f>
        <v>2</v>
      </c>
      <c r="O33">
        <f t="array" ref="O33">AVERAGE(rating!C32:'rating'!ZZ32)</f>
        <v>9.5</v>
      </c>
      <c r="P33">
        <f>SUM(COUNTIF(rating!C32:ZZ32, 10))</f>
        <v>1</v>
      </c>
      <c r="R33">
        <f>COUNTA(year!C32:ZZ32)</f>
        <v>2</v>
      </c>
      <c r="S33">
        <f>COUNTA(books!C32:ZZ32)</f>
        <v>2</v>
      </c>
      <c r="T33">
        <f>COUNTA(rating!C32:ZZ32)</f>
        <v>2</v>
      </c>
      <c r="U33">
        <f t="shared" si="0"/>
        <v>0</v>
      </c>
    </row>
    <row r="34" spans="8:21" x14ac:dyDescent="0.35">
      <c r="H34" s="7" t="str">
        <v>B</v>
      </c>
      <c r="J34" t="str">
        <v>F</v>
      </c>
      <c r="K34" t="str">
        <v>Burnett</v>
      </c>
      <c r="L34" t="str">
        <v>Frances Burnett</v>
      </c>
      <c r="M34" t="str">
        <f t="array" ref="M34">VLOOKUP(L34,books!B33,1,0)</f>
        <v>Frances Burnett</v>
      </c>
      <c r="N34">
        <f>COUNTA(books!C33:'books'!ZZ33)</f>
        <v>2</v>
      </c>
      <c r="O34">
        <f t="array" ref="O34">AVERAGE(rating!C33:'rating'!ZZ33)</f>
        <v>10</v>
      </c>
      <c r="P34">
        <f>SUM(COUNTIF(rating!C33:ZZ33, 10))</f>
        <v>2</v>
      </c>
      <c r="R34">
        <f>COUNTA(year!C33:ZZ33)</f>
        <v>2</v>
      </c>
      <c r="S34">
        <f>COUNTA(books!C33:ZZ33)</f>
        <v>2</v>
      </c>
      <c r="T34">
        <f>COUNTA(rating!C33:ZZ33)</f>
        <v>2</v>
      </c>
      <c r="U34">
        <f t="shared" si="0"/>
        <v>0</v>
      </c>
    </row>
    <row r="35" spans="8:21" x14ac:dyDescent="0.35">
      <c r="H35" s="7" t="str">
        <v>W</v>
      </c>
      <c r="J35" t="str">
        <v>J</v>
      </c>
      <c r="K35" t="str">
        <v>Wyss</v>
      </c>
      <c r="L35" t="str">
        <v>Johann Wyss</v>
      </c>
      <c r="M35" t="str">
        <f t="array" ref="M35">VLOOKUP(L35,books!B34,1,0)</f>
        <v>Johann Wyss</v>
      </c>
      <c r="N35">
        <f>COUNTA(books!C34:'books'!ZZ34)</f>
        <v>1</v>
      </c>
      <c r="O35">
        <f t="array" ref="O35">AVERAGE(rating!C34:'rating'!ZZ34)</f>
        <v>9</v>
      </c>
      <c r="P35">
        <f>SUM(COUNTIF(rating!C34:ZZ34, 10))</f>
        <v>0</v>
      </c>
      <c r="R35">
        <f>COUNTA(year!C34:ZZ34)</f>
        <v>1</v>
      </c>
      <c r="S35">
        <f>COUNTA(books!C34:ZZ34)</f>
        <v>1</v>
      </c>
      <c r="T35">
        <f>COUNTA(rating!C34:ZZ34)</f>
        <v>1</v>
      </c>
      <c r="U35">
        <f t="shared" si="0"/>
        <v>0</v>
      </c>
    </row>
    <row r="36" spans="8:21" x14ac:dyDescent="0.35">
      <c r="H36" s="7" t="str">
        <v>S</v>
      </c>
      <c r="J36" t="str">
        <v>A</v>
      </c>
      <c r="K36" t="str">
        <v>Sewell</v>
      </c>
      <c r="L36" t="str">
        <v>Anna Sewell</v>
      </c>
      <c r="M36" t="str">
        <f t="array" ref="M36">VLOOKUP(L36,books!B35,1,0)</f>
        <v>Anna Sewell</v>
      </c>
      <c r="N36">
        <f>COUNTA(books!C35:'books'!ZZ35)</f>
        <v>1</v>
      </c>
      <c r="O36">
        <f t="array" ref="O36">AVERAGE(rating!C35:'rating'!ZZ35)</f>
        <v>6</v>
      </c>
      <c r="P36">
        <f>SUM(COUNTIF(rating!C35:ZZ35, 10))</f>
        <v>0</v>
      </c>
      <c r="R36">
        <f>COUNTA(year!C35:ZZ35)</f>
        <v>1</v>
      </c>
      <c r="S36">
        <f>COUNTA(books!C35:ZZ35)</f>
        <v>1</v>
      </c>
      <c r="T36">
        <f>COUNTA(rating!C35:ZZ35)</f>
        <v>1</v>
      </c>
      <c r="U36">
        <f t="shared" si="0"/>
        <v>0</v>
      </c>
    </row>
    <row r="37" spans="8:21" x14ac:dyDescent="0.35">
      <c r="H37" s="7" t="str">
        <v>H</v>
      </c>
      <c r="J37" t="str">
        <v>M</v>
      </c>
      <c r="K37" t="str">
        <v>Henry</v>
      </c>
      <c r="L37" t="str">
        <v>Marguerite Henry</v>
      </c>
      <c r="M37" t="str">
        <f t="array" ref="M37">VLOOKUP(L37,books!B36,1,0)</f>
        <v>Marguerite Henry</v>
      </c>
      <c r="N37">
        <f>COUNTA(books!C36:'books'!ZZ36)</f>
        <v>11</v>
      </c>
      <c r="O37">
        <f t="array" ref="O37">AVERAGE(rating!C36:'rating'!ZZ36)</f>
        <v>7</v>
      </c>
      <c r="P37">
        <f>SUM(COUNTIF(rating!C36:ZZ36, 10))</f>
        <v>0</v>
      </c>
      <c r="R37">
        <f>COUNTA(year!C36:ZZ36)</f>
        <v>11</v>
      </c>
      <c r="S37">
        <f>COUNTA(books!C36:ZZ36)</f>
        <v>11</v>
      </c>
      <c r="T37">
        <f>COUNTA(rating!C36:ZZ36)</f>
        <v>11</v>
      </c>
      <c r="U37">
        <f t="shared" si="0"/>
        <v>0</v>
      </c>
    </row>
    <row r="38" spans="8:21" x14ac:dyDescent="0.35">
      <c r="H38" s="7" t="str">
        <v>D</v>
      </c>
      <c r="J38" t="str">
        <v>J</v>
      </c>
      <c r="K38" t="str">
        <v>Dean</v>
      </c>
      <c r="L38" t="str">
        <v>Jeffery Dean</v>
      </c>
      <c r="M38" t="str">
        <f t="array" ref="M38">VLOOKUP(L38,books!B37,1,0)</f>
        <v>Jeffery Dean</v>
      </c>
      <c r="N38">
        <f>COUNTA(books!C37:'books'!ZZ37)</f>
        <v>2</v>
      </c>
      <c r="O38">
        <f t="array" ref="O38">AVERAGE(rating!C37:'rating'!ZZ37)</f>
        <v>7</v>
      </c>
      <c r="P38">
        <f>SUM(COUNTIF(rating!C37:ZZ37, 10))</f>
        <v>0</v>
      </c>
      <c r="R38">
        <f>COUNTA(year!C37:ZZ37)</f>
        <v>2</v>
      </c>
      <c r="S38">
        <f>COUNTA(books!C37:ZZ37)</f>
        <v>2</v>
      </c>
      <c r="T38">
        <f>COUNTA(rating!C37:ZZ37)</f>
        <v>2</v>
      </c>
      <c r="U38">
        <f t="shared" si="0"/>
        <v>0</v>
      </c>
    </row>
    <row r="39" spans="8:21" x14ac:dyDescent="0.35">
      <c r="H39" s="7" t="str">
        <v>P</v>
      </c>
      <c r="J39" t="str">
        <v>G</v>
      </c>
      <c r="K39" t="str">
        <v>Paulsen</v>
      </c>
      <c r="L39" t="str">
        <v>Gary Paulsen</v>
      </c>
      <c r="M39" t="str">
        <f t="array" ref="M39">VLOOKUP(L39,books!B38,1,0)</f>
        <v>Gary Paulsen</v>
      </c>
      <c r="N39">
        <f>COUNTA(books!C38:'books'!ZZ38)</f>
        <v>12</v>
      </c>
      <c r="O39">
        <f t="array" ref="O39">AVERAGE(rating!C38:'rating'!ZZ38)</f>
        <v>8.9166666666666661</v>
      </c>
      <c r="P39">
        <f>SUM(COUNTIF(rating!C38:ZZ38, 10))</f>
        <v>4</v>
      </c>
      <c r="R39">
        <f>COUNTA(year!C38:ZZ38)</f>
        <v>12</v>
      </c>
      <c r="S39">
        <f>COUNTA(books!C38:ZZ38)</f>
        <v>12</v>
      </c>
      <c r="T39">
        <f>COUNTA(rating!C38:ZZ38)</f>
        <v>12</v>
      </c>
      <c r="U39">
        <f t="shared" si="0"/>
        <v>0</v>
      </c>
    </row>
    <row r="40" spans="8:21" x14ac:dyDescent="0.35">
      <c r="H40" s="7" t="str">
        <v>W</v>
      </c>
      <c r="J40" t="str">
        <v>L</v>
      </c>
      <c r="K40" t="str">
        <v>Wilder</v>
      </c>
      <c r="L40" t="str">
        <v>Laura Wilder</v>
      </c>
      <c r="M40" t="str">
        <f t="array" ref="M40">VLOOKUP(L40,books!B39,1,0)</f>
        <v>Laura Wilder</v>
      </c>
      <c r="N40">
        <f>COUNTA(books!C39:'books'!ZZ39)</f>
        <v>10</v>
      </c>
      <c r="O40">
        <f t="array" ref="O40">AVERAGE(rating!C39:'rating'!ZZ39)</f>
        <v>9.8000000000000007</v>
      </c>
      <c r="P40">
        <f>SUM(COUNTIF(rating!C39:ZZ39, 10))</f>
        <v>9</v>
      </c>
      <c r="R40">
        <f>COUNTA(year!C39:ZZ39)</f>
        <v>10</v>
      </c>
      <c r="S40">
        <f>COUNTA(books!C39:ZZ39)</f>
        <v>10</v>
      </c>
      <c r="T40">
        <f>COUNTA(rating!C39:ZZ39)</f>
        <v>10</v>
      </c>
      <c r="U40">
        <f t="shared" si="0"/>
        <v>0</v>
      </c>
    </row>
    <row r="41" spans="8:21" x14ac:dyDescent="0.35">
      <c r="H41" s="7" t="str">
        <v>C</v>
      </c>
      <c r="J41" t="str">
        <v>C</v>
      </c>
      <c r="K41" t="str">
        <v>Curtis</v>
      </c>
      <c r="L41" t="str">
        <v>Cristopher Curtis</v>
      </c>
      <c r="M41" t="str">
        <f t="array" ref="M41">VLOOKUP(L41,books!B40,1,0)</f>
        <v>Cristopher Curtis</v>
      </c>
      <c r="N41">
        <f>COUNTA(books!C40:'books'!ZZ40)</f>
        <v>1</v>
      </c>
      <c r="O41">
        <f t="array" ref="O41">AVERAGE(rating!C40:'rating'!ZZ40)</f>
        <v>10</v>
      </c>
      <c r="P41">
        <f>SUM(COUNTIF(rating!C40:ZZ40, 10))</f>
        <v>1</v>
      </c>
      <c r="R41">
        <f>COUNTA(year!C40:ZZ40)</f>
        <v>1</v>
      </c>
      <c r="S41">
        <f>COUNTA(books!C40:ZZ40)</f>
        <v>1</v>
      </c>
      <c r="T41">
        <f>COUNTA(rating!C40:ZZ40)</f>
        <v>1</v>
      </c>
      <c r="U41">
        <f t="shared" si="0"/>
        <v>0</v>
      </c>
    </row>
    <row r="42" spans="8:21" x14ac:dyDescent="0.35">
      <c r="H42" s="7" t="str">
        <v>E</v>
      </c>
      <c r="J42" t="str">
        <v>B</v>
      </c>
      <c r="K42" t="str">
        <v>Evslin</v>
      </c>
      <c r="L42" t="str">
        <v>Bernard Evslin</v>
      </c>
      <c r="M42" t="str">
        <f t="array" ref="M42">VLOOKUP(L42,books!B41,1,0)</f>
        <v>Bernard Evslin</v>
      </c>
      <c r="N42">
        <f>COUNTA(books!C41:'books'!ZZ41)</f>
        <v>1</v>
      </c>
      <c r="O42">
        <f t="array" ref="O42">AVERAGE(rating!C41:'rating'!ZZ41)</f>
        <v>7</v>
      </c>
      <c r="P42">
        <f>SUM(COUNTIF(rating!C41:ZZ41, 10))</f>
        <v>0</v>
      </c>
      <c r="R42">
        <f>COUNTA(year!C41:ZZ41)</f>
        <v>1</v>
      </c>
      <c r="S42">
        <f>COUNTA(books!C41:ZZ41)</f>
        <v>1</v>
      </c>
      <c r="T42">
        <f>COUNTA(rating!C41:ZZ41)</f>
        <v>1</v>
      </c>
      <c r="U42">
        <f t="shared" si="0"/>
        <v>0</v>
      </c>
    </row>
    <row r="43" spans="8:21" x14ac:dyDescent="0.35">
      <c r="H43" s="7" t="str">
        <v>M</v>
      </c>
      <c r="J43" t="str">
        <v>R</v>
      </c>
      <c r="K43" t="str">
        <v>McCloskey</v>
      </c>
      <c r="L43" t="str">
        <v>Robert McCloskey</v>
      </c>
      <c r="M43" t="str">
        <f t="array" ref="M43">VLOOKUP(L43,books!B42,1,0)</f>
        <v>Robert McCloskey</v>
      </c>
      <c r="N43">
        <f>COUNTA(books!C42:'books'!ZZ42)</f>
        <v>2</v>
      </c>
      <c r="O43">
        <f t="array" ref="O43">AVERAGE(rating!C42:'rating'!ZZ42)</f>
        <v>10</v>
      </c>
      <c r="P43">
        <f>SUM(COUNTIF(rating!C42:ZZ42, 10))</f>
        <v>2</v>
      </c>
      <c r="R43">
        <f>COUNTA(year!C42:ZZ42)</f>
        <v>2</v>
      </c>
      <c r="S43">
        <f>COUNTA(books!C42:ZZ42)</f>
        <v>2</v>
      </c>
      <c r="T43">
        <f>COUNTA(rating!C42:ZZ42)</f>
        <v>2</v>
      </c>
      <c r="U43">
        <f t="shared" si="0"/>
        <v>0</v>
      </c>
    </row>
    <row r="44" spans="8:21" x14ac:dyDescent="0.35">
      <c r="H44" s="7" t="str">
        <v>T</v>
      </c>
      <c r="J44" t="str">
        <v>K</v>
      </c>
      <c r="K44" t="str">
        <v>Thomasma</v>
      </c>
      <c r="L44" t="str">
        <v>Kenneth Thomasma</v>
      </c>
      <c r="M44" t="str">
        <f t="array" ref="M44">VLOOKUP(L44,books!B43,1,0)</f>
        <v>Kenneth Thomasma</v>
      </c>
      <c r="N44">
        <f>COUNTA(books!C43:'books'!ZZ43)</f>
        <v>3</v>
      </c>
      <c r="O44">
        <f t="array" ref="O44">AVERAGE(rating!C43:'rating'!ZZ43)</f>
        <v>8</v>
      </c>
      <c r="P44">
        <f>SUM(COUNTIF(rating!C43:ZZ43, 10))</f>
        <v>0</v>
      </c>
      <c r="R44">
        <f>COUNTA(year!C43:ZZ43)</f>
        <v>3</v>
      </c>
      <c r="S44">
        <f>COUNTA(books!C43:ZZ43)</f>
        <v>3</v>
      </c>
      <c r="T44">
        <f>COUNTA(rating!C43:ZZ43)</f>
        <v>3</v>
      </c>
      <c r="U44">
        <f t="shared" si="0"/>
        <v>0</v>
      </c>
    </row>
    <row r="45" spans="8:21" x14ac:dyDescent="0.35">
      <c r="H45" s="7" t="str">
        <v>H</v>
      </c>
      <c r="J45" t="str">
        <v>E</v>
      </c>
      <c r="K45" t="str">
        <v>Hunter</v>
      </c>
      <c r="L45" t="str">
        <v>Edith Hunter</v>
      </c>
      <c r="M45" t="str">
        <f t="array" ref="M45">VLOOKUP(L45,books!B44,1,0)</f>
        <v>Edith Hunter</v>
      </c>
      <c r="N45">
        <f>COUNTA(books!C44:'books'!ZZ44)</f>
        <v>1</v>
      </c>
      <c r="O45">
        <f t="array" ref="O45">AVERAGE(rating!C44:'rating'!ZZ44)</f>
        <v>8</v>
      </c>
      <c r="P45">
        <f>SUM(COUNTIF(rating!C44:ZZ44, 10))</f>
        <v>0</v>
      </c>
      <c r="R45">
        <f>COUNTA(year!C44:ZZ44)</f>
        <v>1</v>
      </c>
      <c r="S45">
        <f>COUNTA(books!C44:ZZ44)</f>
        <v>1</v>
      </c>
      <c r="T45">
        <f>COUNTA(rating!C44:ZZ44)</f>
        <v>1</v>
      </c>
      <c r="U45">
        <f t="shared" si="0"/>
        <v>0</v>
      </c>
    </row>
    <row r="46" spans="8:21" x14ac:dyDescent="0.35">
      <c r="H46" s="7" t="str">
        <v>B</v>
      </c>
      <c r="J46" t="str">
        <v>M</v>
      </c>
      <c r="K46" t="str">
        <v>Bond</v>
      </c>
      <c r="L46" t="str">
        <v>Michael Bond</v>
      </c>
      <c r="M46" t="str">
        <f t="array" ref="M46">VLOOKUP(L46,books!B45,1,0)</f>
        <v>Michael Bond</v>
      </c>
      <c r="N46">
        <f>COUNTA(books!C45:'books'!ZZ45)</f>
        <v>1</v>
      </c>
      <c r="O46">
        <f t="array" ref="O46">AVERAGE(rating!C45:'rating'!ZZ45)</f>
        <v>9</v>
      </c>
      <c r="P46">
        <f>SUM(COUNTIF(rating!C45:ZZ45, 10))</f>
        <v>0</v>
      </c>
      <c r="R46">
        <f>COUNTA(year!C45:ZZ45)</f>
        <v>1</v>
      </c>
      <c r="S46">
        <f>COUNTA(books!C45:ZZ45)</f>
        <v>1</v>
      </c>
      <c r="T46">
        <f>COUNTA(rating!C45:ZZ45)</f>
        <v>1</v>
      </c>
      <c r="U46">
        <f t="shared" si="0"/>
        <v>0</v>
      </c>
    </row>
    <row r="47" spans="8:21" x14ac:dyDescent="0.35">
      <c r="H47" s="7" t="str">
        <v>D</v>
      </c>
      <c r="J47" t="str">
        <v>R</v>
      </c>
      <c r="K47" t="str">
        <v>Dahl</v>
      </c>
      <c r="L47" t="str">
        <v>Roald Dahl</v>
      </c>
      <c r="M47" t="str">
        <f t="array" ref="M47">VLOOKUP(L47,books!B46,1,0)</f>
        <v>Roald Dahl</v>
      </c>
      <c r="N47">
        <f>COUNTA(books!C46:'books'!ZZ46)</f>
        <v>12</v>
      </c>
      <c r="O47">
        <f t="array" ref="O47">AVERAGE(rating!C46:'rating'!ZZ46)</f>
        <v>9.0833333333333339</v>
      </c>
      <c r="P47">
        <f>SUM(COUNTIF(rating!C46:ZZ46, 10))</f>
        <v>2</v>
      </c>
      <c r="R47">
        <f>COUNTA(year!C46:ZZ46)</f>
        <v>12</v>
      </c>
      <c r="S47">
        <f>COUNTA(books!C46:ZZ46)</f>
        <v>12</v>
      </c>
      <c r="T47">
        <f>COUNTA(rating!C46:ZZ46)</f>
        <v>12</v>
      </c>
      <c r="U47">
        <f t="shared" si="0"/>
        <v>0</v>
      </c>
    </row>
    <row r="48" spans="8:21" x14ac:dyDescent="0.35">
      <c r="H48" s="7" t="str">
        <v>Y</v>
      </c>
      <c r="J48" t="str">
        <v>E</v>
      </c>
      <c r="K48" t="str">
        <v>Yates</v>
      </c>
      <c r="L48" t="str">
        <v>Elizabeth Yates</v>
      </c>
      <c r="M48" t="str">
        <f t="array" ref="M48">VLOOKUP(L48,books!B47,1,0)</f>
        <v>Elizabeth Yates</v>
      </c>
      <c r="N48">
        <f>COUNTA(books!C47:'books'!ZZ47)</f>
        <v>1</v>
      </c>
      <c r="O48">
        <f t="array" ref="O48">AVERAGE(rating!C47:'rating'!ZZ47)</f>
        <v>8</v>
      </c>
      <c r="P48">
        <f>SUM(COUNTIF(rating!C47:ZZ47, 10))</f>
        <v>0</v>
      </c>
      <c r="R48">
        <f>COUNTA(year!C47:ZZ47)</f>
        <v>1</v>
      </c>
      <c r="S48">
        <f>COUNTA(books!C47:ZZ47)</f>
        <v>1</v>
      </c>
      <c r="T48">
        <f>COUNTA(rating!C47:ZZ47)</f>
        <v>1</v>
      </c>
      <c r="U48">
        <f t="shared" si="0"/>
        <v>0</v>
      </c>
    </row>
    <row r="49" spans="8:21" x14ac:dyDescent="0.35">
      <c r="H49" s="7" t="str">
        <v>S</v>
      </c>
      <c r="J49" t="str">
        <v>M</v>
      </c>
      <c r="K49" t="str">
        <v>Shelly</v>
      </c>
      <c r="L49" t="str">
        <v>Mary Shelly</v>
      </c>
      <c r="M49" t="str">
        <f t="array" ref="M49">VLOOKUP(L49,books!B48,1,0)</f>
        <v>Mary Shelly</v>
      </c>
      <c r="N49">
        <f>COUNTA(books!C48:'books'!ZZ48)</f>
        <v>1</v>
      </c>
      <c r="O49">
        <f t="array" ref="O49">AVERAGE(rating!C48:'rating'!ZZ48)</f>
        <v>8</v>
      </c>
      <c r="P49">
        <f>SUM(COUNTIF(rating!C48:ZZ48, 10))</f>
        <v>0</v>
      </c>
      <c r="R49">
        <f>COUNTA(year!C48:ZZ48)</f>
        <v>1</v>
      </c>
      <c r="S49">
        <f>COUNTA(books!C48:ZZ48)</f>
        <v>1</v>
      </c>
      <c r="T49">
        <f>COUNTA(rating!C48:ZZ48)</f>
        <v>1</v>
      </c>
      <c r="U49">
        <f t="shared" si="0"/>
        <v>0</v>
      </c>
    </row>
    <row r="50" spans="8:21" x14ac:dyDescent="0.35">
      <c r="H50" s="7" t="str">
        <v>N</v>
      </c>
      <c r="J50" t="str">
        <v>J</v>
      </c>
      <c r="K50" t="str">
        <v>Nimmo</v>
      </c>
      <c r="L50" t="str">
        <v>Jenny Nimmo</v>
      </c>
      <c r="M50" t="str">
        <f t="array" ref="M50">VLOOKUP(L50,books!B49,1,0)</f>
        <v>Jenny Nimmo</v>
      </c>
      <c r="N50">
        <f>COUNTA(books!C49:'books'!ZZ49)</f>
        <v>7</v>
      </c>
      <c r="O50">
        <f t="array" ref="O50">AVERAGE(rating!C49:'rating'!ZZ49)</f>
        <v>9</v>
      </c>
      <c r="P50">
        <f>SUM(COUNTIF(rating!C49:ZZ49, 10))</f>
        <v>0</v>
      </c>
      <c r="R50">
        <f>COUNTA(year!C49:ZZ49)</f>
        <v>7</v>
      </c>
      <c r="S50">
        <f>COUNTA(books!C49:ZZ49)</f>
        <v>7</v>
      </c>
      <c r="T50">
        <f>COUNTA(rating!C49:ZZ49)</f>
        <v>7</v>
      </c>
      <c r="U50">
        <f t="shared" si="0"/>
        <v>0</v>
      </c>
    </row>
    <row r="51" spans="8:21" x14ac:dyDescent="0.35">
      <c r="H51" s="7" t="str">
        <v>B</v>
      </c>
      <c r="J51" t="str">
        <v>M</v>
      </c>
      <c r="K51" t="str">
        <v>Buckley</v>
      </c>
      <c r="L51" t="str">
        <v>Michael Buckley</v>
      </c>
      <c r="M51" t="str">
        <f t="array" ref="M51">VLOOKUP(L51,books!B50,1,0)</f>
        <v>Michael Buckley</v>
      </c>
      <c r="N51">
        <f>COUNTA(books!C50:'books'!ZZ50)</f>
        <v>9</v>
      </c>
      <c r="O51">
        <f t="array" ref="O51">AVERAGE(rating!C50:'rating'!ZZ50)</f>
        <v>9</v>
      </c>
      <c r="P51">
        <f>SUM(COUNTIF(rating!C50:ZZ50, 10))</f>
        <v>0</v>
      </c>
      <c r="R51">
        <f>COUNTA(year!C50:ZZ50)</f>
        <v>9</v>
      </c>
      <c r="S51">
        <f>COUNTA(books!C50:ZZ50)</f>
        <v>9</v>
      </c>
      <c r="T51">
        <f>COUNTA(rating!C50:ZZ50)</f>
        <v>9</v>
      </c>
      <c r="U51">
        <f t="shared" si="0"/>
        <v>0</v>
      </c>
    </row>
    <row r="52" spans="8:21" x14ac:dyDescent="0.35">
      <c r="H52" s="7" t="str">
        <v>C</v>
      </c>
      <c r="J52" t="str">
        <v>C</v>
      </c>
      <c r="K52" t="str">
        <v>Cussler</v>
      </c>
      <c r="L52" t="str">
        <v>Clive Cussler</v>
      </c>
      <c r="M52" t="str">
        <f t="array" ref="M52">VLOOKUP(L52,books!B51,1,0)</f>
        <v>Clive Cussler</v>
      </c>
      <c r="N52">
        <f>COUNTA(books!C51:'books'!ZZ51)</f>
        <v>4</v>
      </c>
      <c r="O52">
        <f t="array" ref="O52">AVERAGE(rating!C51:'rating'!ZZ51)</f>
        <v>8.5</v>
      </c>
      <c r="P52">
        <f>SUM(COUNTIF(rating!C51:ZZ51, 10))</f>
        <v>0</v>
      </c>
      <c r="R52">
        <f>COUNTA(year!C51:ZZ51)</f>
        <v>4</v>
      </c>
      <c r="S52">
        <f>COUNTA(books!C51:ZZ51)</f>
        <v>4</v>
      </c>
      <c r="T52">
        <f>COUNTA(rating!C51:ZZ51)</f>
        <v>4</v>
      </c>
      <c r="U52">
        <f t="shared" si="0"/>
        <v>0</v>
      </c>
    </row>
    <row r="53" spans="8:21" x14ac:dyDescent="0.35">
      <c r="H53" s="7" t="str">
        <v>B</v>
      </c>
      <c r="J53" t="str">
        <v>T</v>
      </c>
      <c r="K53" t="str">
        <v>Brooks</v>
      </c>
      <c r="L53" t="str">
        <v>Terry Brooks</v>
      </c>
      <c r="M53" t="str">
        <f t="array" ref="M53">VLOOKUP(L53,books!B52,1,0)</f>
        <v>Terry Brooks</v>
      </c>
      <c r="N53">
        <f>COUNTA(books!C52:'books'!ZZ52)</f>
        <v>9</v>
      </c>
      <c r="O53">
        <f t="array" ref="O53">AVERAGE(rating!C52:'rating'!ZZ52)</f>
        <v>8.7777777777777786</v>
      </c>
      <c r="P53">
        <f>SUM(COUNTIF(rating!C52:ZZ52, 10))</f>
        <v>0</v>
      </c>
      <c r="R53">
        <f>COUNTA(year!C52:ZZ52)</f>
        <v>9</v>
      </c>
      <c r="S53">
        <f>COUNTA(books!C52:ZZ52)</f>
        <v>9</v>
      </c>
      <c r="T53">
        <f>COUNTA(rating!C52:ZZ52)</f>
        <v>9</v>
      </c>
      <c r="U53">
        <f t="shared" si="0"/>
        <v>0</v>
      </c>
    </row>
    <row r="54" spans="8:21" x14ac:dyDescent="0.35">
      <c r="H54" s="7" t="str">
        <v>C</v>
      </c>
      <c r="J54" t="str">
        <v>K</v>
      </c>
      <c r="K54" t="str">
        <v>Cashore</v>
      </c>
      <c r="L54" t="str">
        <v>Kristin Cashore</v>
      </c>
      <c r="M54" t="str">
        <f t="array" ref="M54">VLOOKUP(L54,books!B53,1,0)</f>
        <v>Kristin Cashore</v>
      </c>
      <c r="N54">
        <f>COUNTA(books!C53:'books'!ZZ53)</f>
        <v>3</v>
      </c>
      <c r="O54">
        <f t="array" ref="O54">AVERAGE(rating!C53:'rating'!ZZ53)</f>
        <v>8.3333333333333339</v>
      </c>
      <c r="P54">
        <f>SUM(COUNTIF(rating!C53:ZZ53, 10))</f>
        <v>0</v>
      </c>
      <c r="R54">
        <f>COUNTA(year!C53:ZZ53)</f>
        <v>3</v>
      </c>
      <c r="S54">
        <f>COUNTA(books!C53:ZZ53)</f>
        <v>3</v>
      </c>
      <c r="T54">
        <f>COUNTA(rating!C53:ZZ53)</f>
        <v>3</v>
      </c>
      <c r="U54">
        <f t="shared" si="0"/>
        <v>0</v>
      </c>
    </row>
    <row r="55" spans="8:21" x14ac:dyDescent="0.35">
      <c r="H55" s="7" t="str">
        <v>D</v>
      </c>
      <c r="J55" t="str">
        <v>C</v>
      </c>
      <c r="K55" t="str">
        <v>D'lacey</v>
      </c>
      <c r="L55" t="str">
        <v>Chris D'lacey</v>
      </c>
      <c r="M55" t="str">
        <f t="array" ref="M55">VLOOKUP(L55,books!B54,1,0)</f>
        <v>Chris D'lacey</v>
      </c>
      <c r="N55">
        <f>COUNTA(books!C54:'books'!ZZ54)</f>
        <v>7</v>
      </c>
      <c r="O55">
        <f t="array" ref="O55">AVERAGE(rating!C54:'rating'!ZZ54)</f>
        <v>9.1428571428571423</v>
      </c>
      <c r="P55">
        <f>SUM(COUNTIF(rating!C54:ZZ54, 10))</f>
        <v>1</v>
      </c>
      <c r="R55">
        <f>COUNTA(year!C54:ZZ54)</f>
        <v>7</v>
      </c>
      <c r="S55">
        <f>COUNTA(books!C54:ZZ54)</f>
        <v>7</v>
      </c>
      <c r="T55">
        <f>COUNTA(rating!C54:ZZ54)</f>
        <v>7</v>
      </c>
      <c r="U55">
        <f t="shared" si="0"/>
        <v>0</v>
      </c>
    </row>
    <row r="56" spans="8:21" x14ac:dyDescent="0.35">
      <c r="H56" s="7" t="str">
        <v>A</v>
      </c>
      <c r="J56" t="str">
        <v>K</v>
      </c>
      <c r="K56" t="str">
        <v>Applegate</v>
      </c>
      <c r="L56" t="str">
        <v>Katherine Applegate</v>
      </c>
      <c r="M56" t="str">
        <f t="array" ref="M56">VLOOKUP(L56,books!B55,1,0)</f>
        <v>Katherine Applegate</v>
      </c>
      <c r="N56">
        <f>COUNTA(books!C55:'books'!ZZ55)</f>
        <v>47</v>
      </c>
      <c r="O56">
        <f t="array" ref="O56">AVERAGE(rating!C55:'rating'!ZZ55)</f>
        <v>6.7021276595744679</v>
      </c>
      <c r="P56">
        <f>SUM(COUNTIF(rating!C55:ZZ55, 10))</f>
        <v>0</v>
      </c>
      <c r="R56">
        <f>COUNTA(year!C55:ZZ55)</f>
        <v>47</v>
      </c>
      <c r="S56">
        <f>COUNTA(books!C55:ZZ55)</f>
        <v>47</v>
      </c>
      <c r="T56">
        <f>COUNTA(rating!C55:ZZ55)</f>
        <v>47</v>
      </c>
      <c r="U56">
        <f t="shared" si="0"/>
        <v>0</v>
      </c>
    </row>
    <row r="57" spans="8:21" x14ac:dyDescent="0.35">
      <c r="H57" s="7" t="str">
        <v>E</v>
      </c>
      <c r="J57" t="str">
        <v>E</v>
      </c>
      <c r="K57" t="str">
        <v>Estes</v>
      </c>
      <c r="L57" t="str">
        <v>Eleanor Estes</v>
      </c>
      <c r="M57" t="str">
        <f t="array" ref="M57">VLOOKUP(L57,books!B56,1,0)</f>
        <v>Eleanor Estes</v>
      </c>
      <c r="N57">
        <f>COUNTA(books!C56:'books'!ZZ56)</f>
        <v>5</v>
      </c>
      <c r="O57">
        <f t="array" ref="O57">AVERAGE(rating!C56:'rating'!ZZ56)</f>
        <v>8.4</v>
      </c>
      <c r="P57">
        <f>SUM(COUNTIF(rating!C56:ZZ56, 10))</f>
        <v>0</v>
      </c>
      <c r="R57">
        <f>COUNTA(year!C56:ZZ56)</f>
        <v>5</v>
      </c>
      <c r="S57">
        <f>COUNTA(books!C56:ZZ56)</f>
        <v>5</v>
      </c>
      <c r="T57">
        <f>COUNTA(rating!C56:ZZ56)</f>
        <v>5</v>
      </c>
      <c r="U57">
        <f t="shared" si="0"/>
        <v>0</v>
      </c>
    </row>
    <row r="58" spans="8:21" x14ac:dyDescent="0.35">
      <c r="H58" s="7" t="str">
        <v>T</v>
      </c>
      <c r="J58" t="str">
        <v>M</v>
      </c>
      <c r="K58" t="str">
        <v>Twain</v>
      </c>
      <c r="L58" t="str">
        <v>Mark Twain</v>
      </c>
      <c r="M58" t="str">
        <f t="array" ref="M58">VLOOKUP(L58,books!B57,1,0)</f>
        <v>Mark Twain</v>
      </c>
      <c r="N58">
        <f>COUNTA(books!C57:'books'!ZZ57)</f>
        <v>3</v>
      </c>
      <c r="O58">
        <f t="array" ref="O58">AVERAGE(rating!C57:'rating'!ZZ57)</f>
        <v>9</v>
      </c>
      <c r="P58">
        <f>SUM(COUNTIF(rating!C57:ZZ57, 10))</f>
        <v>0</v>
      </c>
      <c r="R58">
        <f>COUNTA(year!C57:ZZ57)</f>
        <v>3</v>
      </c>
      <c r="S58">
        <f>COUNTA(books!C57:ZZ57)</f>
        <v>3</v>
      </c>
      <c r="T58">
        <f>COUNTA(rating!C57:ZZ57)</f>
        <v>3</v>
      </c>
      <c r="U58">
        <f t="shared" si="0"/>
        <v>0</v>
      </c>
    </row>
    <row r="59" spans="8:21" x14ac:dyDescent="0.35">
      <c r="H59" s="7" t="str">
        <v>G</v>
      </c>
      <c r="J59" t="str">
        <v>K</v>
      </c>
      <c r="K59" t="str">
        <v>Grahame</v>
      </c>
      <c r="L59" t="str">
        <v>Kenneth Grahame</v>
      </c>
      <c r="M59" t="str">
        <f t="array" ref="M59">VLOOKUP(L59,books!B58,1,0)</f>
        <v>Kenneth Grahame</v>
      </c>
      <c r="N59">
        <f>COUNTA(books!C58:'books'!ZZ58)</f>
        <v>2</v>
      </c>
      <c r="O59">
        <f t="array" ref="O59">AVERAGE(rating!C58:'rating'!ZZ58)</f>
        <v>9.5</v>
      </c>
      <c r="P59">
        <f>SUM(COUNTIF(rating!C58:ZZ58, 10))</f>
        <v>1</v>
      </c>
      <c r="R59">
        <f>COUNTA(year!C58:ZZ58)</f>
        <v>2</v>
      </c>
      <c r="S59">
        <f>COUNTA(books!C58:ZZ58)</f>
        <v>2</v>
      </c>
      <c r="T59">
        <f>COUNTA(rating!C58:ZZ58)</f>
        <v>2</v>
      </c>
      <c r="U59">
        <f t="shared" si="0"/>
        <v>0</v>
      </c>
    </row>
    <row r="60" spans="8:21" x14ac:dyDescent="0.35">
      <c r="H60" s="7" t="str">
        <v>E</v>
      </c>
      <c r="J60" t="str">
        <v>A</v>
      </c>
      <c r="K60" t="str">
        <v>Eckert</v>
      </c>
      <c r="L60" t="str">
        <v>Allan Eckert</v>
      </c>
      <c r="M60" t="str">
        <f t="array" ref="M60">VLOOKUP(L60,books!B59,1,0)</f>
        <v>Allan Eckert</v>
      </c>
      <c r="N60">
        <f>COUNTA(books!C59:'books'!ZZ59)</f>
        <v>1</v>
      </c>
      <c r="O60">
        <f t="array" ref="O60">AVERAGE(rating!C59:'rating'!ZZ59)</f>
        <v>7</v>
      </c>
      <c r="P60">
        <f>SUM(COUNTIF(rating!C59:ZZ59, 10))</f>
        <v>0</v>
      </c>
      <c r="R60">
        <f>COUNTA(year!C59:ZZ59)</f>
        <v>1</v>
      </c>
      <c r="S60">
        <f>COUNTA(books!C59:ZZ59)</f>
        <v>1</v>
      </c>
      <c r="T60">
        <f>COUNTA(rating!C59:ZZ59)</f>
        <v>1</v>
      </c>
      <c r="U60">
        <f t="shared" si="0"/>
        <v>0</v>
      </c>
    </row>
    <row r="61" spans="8:21" x14ac:dyDescent="0.35">
      <c r="H61" s="7" t="str">
        <v>K</v>
      </c>
      <c r="J61" t="str">
        <v>J</v>
      </c>
      <c r="K61" t="str">
        <v>Kelly</v>
      </c>
      <c r="L61" t="str">
        <v>Jacqueline Kelly</v>
      </c>
      <c r="M61" t="str">
        <f t="array" ref="M61">VLOOKUP(L61,books!B60,1,0)</f>
        <v>Jacqueline Kelly</v>
      </c>
      <c r="N61">
        <f>COUNTA(books!C60:'books'!ZZ60)</f>
        <v>1</v>
      </c>
      <c r="O61">
        <f t="array" ref="O61">AVERAGE(rating!C60:'rating'!ZZ60)</f>
        <v>9</v>
      </c>
      <c r="P61">
        <f>SUM(COUNTIF(rating!C60:ZZ60, 10))</f>
        <v>0</v>
      </c>
      <c r="R61">
        <f>COUNTA(year!C60:ZZ60)</f>
        <v>1</v>
      </c>
      <c r="S61">
        <f>COUNTA(books!C60:ZZ60)</f>
        <v>1</v>
      </c>
      <c r="T61">
        <f>COUNTA(rating!C60:ZZ60)</f>
        <v>1</v>
      </c>
      <c r="U61">
        <f t="shared" si="0"/>
        <v>0</v>
      </c>
    </row>
    <row r="62" spans="8:21" x14ac:dyDescent="0.35">
      <c r="H62" s="7" t="str">
        <v>A</v>
      </c>
      <c r="J62" t="str">
        <v>J</v>
      </c>
      <c r="K62" t="str">
        <v>Andrews</v>
      </c>
      <c r="L62" t="str">
        <v>Julie Andrews</v>
      </c>
      <c r="M62" t="str">
        <f t="array" ref="M62">VLOOKUP(L62,books!B61,1,0)</f>
        <v>Julie Andrews</v>
      </c>
      <c r="N62">
        <f>COUNTA(books!C61:'books'!ZZ61)</f>
        <v>1</v>
      </c>
      <c r="O62">
        <f t="array" ref="O62">AVERAGE(rating!C61:'rating'!ZZ61)</f>
        <v>10</v>
      </c>
      <c r="P62">
        <f>SUM(COUNTIF(rating!C61:ZZ61, 10))</f>
        <v>1</v>
      </c>
      <c r="R62">
        <f>COUNTA(year!C61:ZZ61)</f>
        <v>1</v>
      </c>
      <c r="S62">
        <f>COUNTA(books!C61:ZZ61)</f>
        <v>1</v>
      </c>
      <c r="T62">
        <f>COUNTA(rating!C61:ZZ61)</f>
        <v>1</v>
      </c>
      <c r="U62">
        <f t="shared" si="0"/>
        <v>0</v>
      </c>
    </row>
    <row r="63" spans="8:21" x14ac:dyDescent="0.35">
      <c r="H63" s="7" t="str">
        <v>P</v>
      </c>
      <c r="J63" t="str">
        <v>K</v>
      </c>
      <c r="K63" t="str">
        <v>Paterson</v>
      </c>
      <c r="L63" t="str">
        <v>Katherine Paterson</v>
      </c>
      <c r="M63" t="str">
        <f t="array" ref="M63">VLOOKUP(L63,books!B62,1,0)</f>
        <v>Katherine Paterson</v>
      </c>
      <c r="N63">
        <f>COUNTA(books!C62:'books'!ZZ62)</f>
        <v>1</v>
      </c>
      <c r="O63">
        <f t="array" ref="O63">AVERAGE(rating!C62:'rating'!ZZ62)</f>
        <v>9</v>
      </c>
      <c r="P63">
        <f>SUM(COUNTIF(rating!C62:ZZ62, 10))</f>
        <v>0</v>
      </c>
      <c r="R63">
        <f>COUNTA(year!C62:ZZ62)</f>
        <v>1</v>
      </c>
      <c r="S63">
        <f>COUNTA(books!C62:ZZ62)</f>
        <v>1</v>
      </c>
      <c r="T63">
        <f>COUNTA(rating!C62:ZZ62)</f>
        <v>1</v>
      </c>
      <c r="U63">
        <f t="shared" si="0"/>
        <v>0</v>
      </c>
    </row>
    <row r="64" spans="8:21" x14ac:dyDescent="0.35">
      <c r="H64" s="7" t="str">
        <v>B</v>
      </c>
      <c r="J64" t="str">
        <v>T</v>
      </c>
      <c r="K64" t="str">
        <v>Bell</v>
      </c>
      <c r="L64" t="str">
        <v>Ted Bell</v>
      </c>
      <c r="M64" t="str">
        <f t="array" ref="M64">VLOOKUP(L64,books!B63,1,0)</f>
        <v>Ted Bell</v>
      </c>
      <c r="N64">
        <f>COUNTA(books!C63:'books'!ZZ63)</f>
        <v>2</v>
      </c>
      <c r="O64">
        <f t="array" ref="O64">AVERAGE(rating!C63:'rating'!ZZ63)</f>
        <v>8.5</v>
      </c>
      <c r="P64">
        <f>SUM(COUNTIF(rating!C63:ZZ63, 10))</f>
        <v>0</v>
      </c>
      <c r="R64">
        <f>COUNTA(year!C63:ZZ63)</f>
        <v>2</v>
      </c>
      <c r="S64">
        <f>COUNTA(books!C63:ZZ63)</f>
        <v>2</v>
      </c>
      <c r="T64">
        <f>COUNTA(rating!C63:ZZ63)</f>
        <v>2</v>
      </c>
      <c r="U64">
        <f t="shared" si="0"/>
        <v>0</v>
      </c>
    </row>
    <row r="65" spans="8:21" x14ac:dyDescent="0.35">
      <c r="H65" s="7" t="str">
        <v>B</v>
      </c>
      <c r="J65" t="str">
        <v>L</v>
      </c>
      <c r="K65" t="str">
        <v>Banks</v>
      </c>
      <c r="L65" t="str">
        <v>Lynne Banks</v>
      </c>
      <c r="M65" t="str">
        <f t="array" ref="M65">VLOOKUP(L65,books!B64,1,0)</f>
        <v>Lynne Banks</v>
      </c>
      <c r="N65">
        <f>COUNTA(books!C64:'books'!ZZ64)</f>
        <v>5</v>
      </c>
      <c r="O65">
        <f t="array" ref="O65">AVERAGE(rating!C64:'rating'!ZZ64)</f>
        <v>9.1999999999999993</v>
      </c>
      <c r="P65">
        <f>SUM(COUNTIF(rating!C64:ZZ64, 10))</f>
        <v>1</v>
      </c>
      <c r="R65">
        <f>COUNTA(year!C64:ZZ64)</f>
        <v>5</v>
      </c>
      <c r="S65">
        <f>COUNTA(books!C64:ZZ64)</f>
        <v>5</v>
      </c>
      <c r="T65">
        <f>COUNTA(rating!C64:ZZ64)</f>
        <v>5</v>
      </c>
      <c r="U65">
        <f t="shared" si="0"/>
        <v>0</v>
      </c>
    </row>
    <row r="66" spans="8:21" x14ac:dyDescent="0.35">
      <c r="H66" s="7" t="str">
        <v>L</v>
      </c>
      <c r="J66" t="str">
        <v>G</v>
      </c>
      <c r="K66" t="str">
        <v>Lippert</v>
      </c>
      <c r="L66" t="str">
        <v>G. Lippert</v>
      </c>
      <c r="M66" t="str">
        <f t="array" ref="M66">VLOOKUP(L66,books!B65,1,0)</f>
        <v>G. Lippert</v>
      </c>
      <c r="N66">
        <f>COUNTA(books!C65:'books'!ZZ65)</f>
        <v>3</v>
      </c>
      <c r="O66">
        <f t="array" ref="O66">AVERAGE(rating!C65:'rating'!ZZ65)</f>
        <v>8</v>
      </c>
      <c r="P66">
        <f>SUM(COUNTIF(rating!C65:ZZ65, 10))</f>
        <v>0</v>
      </c>
      <c r="R66">
        <f>COUNTA(year!C65:ZZ65)</f>
        <v>3</v>
      </c>
      <c r="S66">
        <f>COUNTA(books!C65:ZZ65)</f>
        <v>3</v>
      </c>
      <c r="T66">
        <f>COUNTA(rating!C65:ZZ65)</f>
        <v>3</v>
      </c>
      <c r="U66">
        <f t="shared" si="0"/>
        <v>0</v>
      </c>
    </row>
    <row r="67" spans="8:21" x14ac:dyDescent="0.35">
      <c r="H67" s="7" t="str">
        <v>S</v>
      </c>
      <c r="J67" t="str">
        <v>J</v>
      </c>
      <c r="K67" t="str">
        <v>Saaz</v>
      </c>
      <c r="L67" t="str">
        <v>Johannes von Saaz</v>
      </c>
      <c r="M67" t="str">
        <f t="array" ref="M67">VLOOKUP(L67,books!B66,1,0)</f>
        <v>Johannes von Saaz</v>
      </c>
      <c r="N67">
        <f>COUNTA(books!C66:'books'!ZZ66)</f>
        <v>1</v>
      </c>
      <c r="O67">
        <f t="array" ref="O67">AVERAGE(rating!C66:'rating'!ZZ66)</f>
        <v>6</v>
      </c>
      <c r="P67">
        <f>SUM(COUNTIF(rating!C66:ZZ66, 10))</f>
        <v>0</v>
      </c>
      <c r="R67">
        <f>COUNTA(year!C66:ZZ66)</f>
        <v>1</v>
      </c>
      <c r="S67">
        <f>COUNTA(books!C66:ZZ66)</f>
        <v>1</v>
      </c>
      <c r="T67">
        <f>COUNTA(rating!C66:ZZ66)</f>
        <v>1</v>
      </c>
      <c r="U67">
        <f t="shared" ref="U67:U130" si="1">R67-T67</f>
        <v>0</v>
      </c>
    </row>
    <row r="68" spans="8:21" x14ac:dyDescent="0.35">
      <c r="H68" s="7" t="str">
        <v>A</v>
      </c>
      <c r="J68" t="str">
        <v>H</v>
      </c>
      <c r="K68" t="str">
        <v>Aue</v>
      </c>
      <c r="L68" t="str">
        <v>Hartmann von Aue</v>
      </c>
      <c r="M68" t="str">
        <f t="array" ref="M68">VLOOKUP(L68,books!B67,1,0)</f>
        <v>Hartmann von Aue</v>
      </c>
      <c r="N68">
        <f>COUNTA(books!C67:'books'!ZZ67)</f>
        <v>1</v>
      </c>
      <c r="O68">
        <f t="array" ref="O68">AVERAGE(rating!C67:'rating'!ZZ67)</f>
        <v>6</v>
      </c>
      <c r="P68">
        <f>SUM(COUNTIF(rating!C67:ZZ67, 10))</f>
        <v>0</v>
      </c>
      <c r="R68">
        <f>COUNTA(year!C67:ZZ67)</f>
        <v>1</v>
      </c>
      <c r="S68">
        <f>COUNTA(books!C67:ZZ67)</f>
        <v>1</v>
      </c>
      <c r="T68">
        <f>COUNTA(rating!C67:ZZ67)</f>
        <v>1</v>
      </c>
      <c r="U68">
        <f t="shared" si="1"/>
        <v>0</v>
      </c>
    </row>
    <row r="69" spans="8:21" x14ac:dyDescent="0.35">
      <c r="H69" s="7" t="str">
        <v>D</v>
      </c>
      <c r="J69" t="str">
        <v>C</v>
      </c>
      <c r="K69" t="str">
        <v>Dickens</v>
      </c>
      <c r="L69" t="str">
        <v>Charles Dickens</v>
      </c>
      <c r="M69" t="str">
        <f t="array" ref="M69">VLOOKUP(L69,books!B68,1,0)</f>
        <v>Charles Dickens</v>
      </c>
      <c r="N69">
        <f>COUNTA(books!C68:'books'!ZZ68)</f>
        <v>4</v>
      </c>
      <c r="O69">
        <f t="array" ref="O69">AVERAGE(rating!C68:'rating'!ZZ68)</f>
        <v>7.25</v>
      </c>
      <c r="P69">
        <f>SUM(COUNTIF(rating!C68:ZZ68, 10))</f>
        <v>0</v>
      </c>
      <c r="R69">
        <f>COUNTA(year!C68:ZZ68)</f>
        <v>4</v>
      </c>
      <c r="S69">
        <f>COUNTA(books!C68:ZZ68)</f>
        <v>4</v>
      </c>
      <c r="T69">
        <f>COUNTA(rating!C68:ZZ68)</f>
        <v>4</v>
      </c>
      <c r="U69">
        <f t="shared" si="1"/>
        <v>0</v>
      </c>
    </row>
    <row r="70" spans="8:21" x14ac:dyDescent="0.35">
      <c r="H70" s="7" t="str">
        <v>C</v>
      </c>
      <c r="J70" t="str">
        <v>R</v>
      </c>
      <c r="K70" t="str">
        <v>Connell</v>
      </c>
      <c r="L70" t="str">
        <v>Richard Connell</v>
      </c>
      <c r="M70" t="str">
        <f t="array" ref="M70">VLOOKUP(L70,books!B69,1,0)</f>
        <v>Richard Connell</v>
      </c>
      <c r="N70">
        <f>COUNTA(books!C69:'books'!ZZ69)</f>
        <v>1</v>
      </c>
      <c r="O70">
        <f t="array" ref="O70">AVERAGE(rating!C69:'rating'!ZZ69)</f>
        <v>9</v>
      </c>
      <c r="P70">
        <f>SUM(COUNTIF(rating!C69:ZZ69, 10))</f>
        <v>0</v>
      </c>
      <c r="R70">
        <f>COUNTA(year!C69:ZZ69)</f>
        <v>1</v>
      </c>
      <c r="S70">
        <f>COUNTA(books!C69:ZZ69)</f>
        <v>1</v>
      </c>
      <c r="T70">
        <f>COUNTA(rating!C69:ZZ69)</f>
        <v>1</v>
      </c>
      <c r="U70">
        <f t="shared" si="1"/>
        <v>0</v>
      </c>
    </row>
    <row r="71" spans="8:21" x14ac:dyDescent="0.35">
      <c r="H71" s="7" t="str">
        <v>J</v>
      </c>
      <c r="J71" t="str">
        <v>R</v>
      </c>
      <c r="K71" t="str">
        <v>Jeffress</v>
      </c>
      <c r="L71" t="str">
        <v>Robert Jeffress</v>
      </c>
      <c r="M71" t="str">
        <f t="array" ref="M71">VLOOKUP(L71,books!B70,1,0)</f>
        <v>Robert Jeffress</v>
      </c>
      <c r="N71">
        <f>COUNTA(books!C70:'books'!ZZ70)</f>
        <v>1</v>
      </c>
      <c r="O71">
        <f t="array" ref="O71">AVERAGE(rating!C70:'rating'!ZZ70)</f>
        <v>8</v>
      </c>
      <c r="P71">
        <f>SUM(COUNTIF(rating!C70:ZZ70, 10))</f>
        <v>0</v>
      </c>
      <c r="R71">
        <f>COUNTA(year!C70:ZZ70)</f>
        <v>1</v>
      </c>
      <c r="S71">
        <f>COUNTA(books!C70:ZZ70)</f>
        <v>1</v>
      </c>
      <c r="T71">
        <f>COUNTA(rating!C70:ZZ70)</f>
        <v>1</v>
      </c>
      <c r="U71">
        <f t="shared" si="1"/>
        <v>0</v>
      </c>
    </row>
    <row r="72" spans="8:21" x14ac:dyDescent="0.35">
      <c r="H72" s="7" t="str">
        <v>G</v>
      </c>
      <c r="J72" t="str">
        <v>T</v>
      </c>
      <c r="K72" t="str">
        <v>Gooley</v>
      </c>
      <c r="L72" t="str">
        <v>Tristan Gooley</v>
      </c>
      <c r="M72" t="str">
        <f t="array" ref="M72">VLOOKUP(L72,books!B71,1,0)</f>
        <v>Tristan Gooley</v>
      </c>
      <c r="N72">
        <f>COUNTA(books!C71:'books'!ZZ71)</f>
        <v>1</v>
      </c>
      <c r="O72">
        <f t="array" ref="O72">AVERAGE(rating!C71:'rating'!ZZ71)</f>
        <v>8</v>
      </c>
      <c r="P72">
        <f>SUM(COUNTIF(rating!C71:ZZ71, 10))</f>
        <v>0</v>
      </c>
      <c r="R72">
        <f>COUNTA(year!C71:ZZ71)</f>
        <v>1</v>
      </c>
      <c r="S72">
        <f>COUNTA(books!C71:ZZ71)</f>
        <v>1</v>
      </c>
      <c r="T72">
        <f>COUNTA(rating!C71:ZZ71)</f>
        <v>1</v>
      </c>
      <c r="U72">
        <f t="shared" si="1"/>
        <v>0</v>
      </c>
    </row>
    <row r="73" spans="8:21" x14ac:dyDescent="0.35">
      <c r="H73" s="7" t="str">
        <v>F</v>
      </c>
      <c r="J73" t="str">
        <v>S</v>
      </c>
      <c r="K73" t="str">
        <v>Fleischman</v>
      </c>
      <c r="L73" t="str">
        <v>Sid Fleischman</v>
      </c>
      <c r="M73" t="str">
        <f t="array" ref="M73">VLOOKUP(L73,books!B72,1,0)</f>
        <v>Sid Fleischman</v>
      </c>
      <c r="N73">
        <f>COUNTA(books!C72:'books'!ZZ72)</f>
        <v>1</v>
      </c>
      <c r="O73">
        <f t="array" ref="O73">AVERAGE(rating!C72:'rating'!ZZ72)</f>
        <v>8</v>
      </c>
      <c r="P73">
        <f>SUM(COUNTIF(rating!C72:ZZ72, 10))</f>
        <v>0</v>
      </c>
      <c r="R73">
        <f>COUNTA(year!C72:ZZ72)</f>
        <v>1</v>
      </c>
      <c r="S73">
        <f>COUNTA(books!C72:ZZ72)</f>
        <v>1</v>
      </c>
      <c r="T73">
        <f>COUNTA(rating!C72:ZZ72)</f>
        <v>1</v>
      </c>
      <c r="U73">
        <f t="shared" si="1"/>
        <v>0</v>
      </c>
    </row>
    <row r="74" spans="8:21" x14ac:dyDescent="0.35">
      <c r="H74" s="7" t="str">
        <v>B</v>
      </c>
      <c r="J74" t="str">
        <v>K</v>
      </c>
      <c r="K74" t="str">
        <v>Brooks</v>
      </c>
      <c r="L74" t="str">
        <v>Kevin Brooks</v>
      </c>
      <c r="M74" t="str">
        <f t="array" ref="M74">VLOOKUP(L74,books!B73,1,0)</f>
        <v>Kevin Brooks</v>
      </c>
      <c r="N74">
        <f>COUNTA(books!C73:'books'!ZZ73)</f>
        <v>1</v>
      </c>
      <c r="O74">
        <f t="array" ref="O74">AVERAGE(rating!C73:'rating'!ZZ73)</f>
        <v>7</v>
      </c>
      <c r="P74">
        <f>SUM(COUNTIF(rating!C73:ZZ73, 10))</f>
        <v>0</v>
      </c>
      <c r="R74">
        <f>COUNTA(year!C73:ZZ73)</f>
        <v>1</v>
      </c>
      <c r="S74">
        <f>COUNTA(books!C73:ZZ73)</f>
        <v>1</v>
      </c>
      <c r="T74">
        <f>COUNTA(rating!C73:ZZ73)</f>
        <v>1</v>
      </c>
      <c r="U74">
        <f t="shared" si="1"/>
        <v>0</v>
      </c>
    </row>
    <row r="75" spans="8:21" x14ac:dyDescent="0.35">
      <c r="H75" s="7" t="str">
        <v>P</v>
      </c>
      <c r="J75" t="str">
        <v>L</v>
      </c>
      <c r="K75" t="str">
        <v>Price</v>
      </c>
      <c r="L75" t="str">
        <v>Lissa Price</v>
      </c>
      <c r="M75" t="str">
        <f t="array" ref="M75">VLOOKUP(L75,books!B74,1,0)</f>
        <v>Lissa Price</v>
      </c>
      <c r="N75">
        <f>COUNTA(books!C74:'books'!ZZ74)</f>
        <v>2</v>
      </c>
      <c r="O75">
        <f t="array" ref="O75">AVERAGE(rating!C74:'rating'!ZZ74)</f>
        <v>5</v>
      </c>
      <c r="P75">
        <f>SUM(COUNTIF(rating!C74:ZZ74, 10))</f>
        <v>0</v>
      </c>
      <c r="R75">
        <f>COUNTA(year!C74:ZZ74)</f>
        <v>2</v>
      </c>
      <c r="S75">
        <f>COUNTA(books!C74:ZZ74)</f>
        <v>2</v>
      </c>
      <c r="T75">
        <f>COUNTA(rating!C74:ZZ74)</f>
        <v>2</v>
      </c>
      <c r="U75">
        <f t="shared" si="1"/>
        <v>0</v>
      </c>
    </row>
    <row r="76" spans="8:21" x14ac:dyDescent="0.35">
      <c r="H76" s="7" t="str">
        <v>F</v>
      </c>
      <c r="J76" t="str">
        <v>N</v>
      </c>
      <c r="K76" t="str">
        <v>Farmer</v>
      </c>
      <c r="L76" t="str">
        <v>Nancy Farmer</v>
      </c>
      <c r="M76" t="str">
        <f t="array" ref="M76">VLOOKUP(L76,books!B75,1,0)</f>
        <v>Nancy Farmer</v>
      </c>
      <c r="N76">
        <f>COUNTA(books!C75:'books'!ZZ75)</f>
        <v>5</v>
      </c>
      <c r="O76">
        <f t="array" ref="O76">AVERAGE(rating!C75:'rating'!ZZ75)</f>
        <v>9.1999999999999993</v>
      </c>
      <c r="P76">
        <f>SUM(COUNTIF(rating!C75:ZZ75, 10))</f>
        <v>2</v>
      </c>
      <c r="R76">
        <f>COUNTA(year!C75:ZZ75)</f>
        <v>5</v>
      </c>
      <c r="S76">
        <f>COUNTA(books!C75:ZZ75)</f>
        <v>5</v>
      </c>
      <c r="T76">
        <f>COUNTA(rating!C75:ZZ75)</f>
        <v>5</v>
      </c>
      <c r="U76">
        <f t="shared" si="1"/>
        <v>0</v>
      </c>
    </row>
    <row r="77" spans="8:21" x14ac:dyDescent="0.35">
      <c r="H77" s="7" t="str">
        <v>B</v>
      </c>
      <c r="J77" t="str">
        <v>F</v>
      </c>
      <c r="K77" t="str">
        <v>Baum</v>
      </c>
      <c r="L77" t="str">
        <v>Frank Baum</v>
      </c>
      <c r="M77" t="str">
        <f t="array" ref="M77">VLOOKUP(L77,books!B76,1,0)</f>
        <v>Frank Baum</v>
      </c>
      <c r="N77">
        <f>COUNTA(books!C76:'books'!ZZ76)</f>
        <v>14</v>
      </c>
      <c r="O77">
        <f t="array" ref="O77">AVERAGE(rating!C76:'rating'!ZZ76)</f>
        <v>9</v>
      </c>
      <c r="P77">
        <f>SUM(COUNTIF(rating!C76:ZZ76, 10))</f>
        <v>0</v>
      </c>
      <c r="R77">
        <f>COUNTA(year!C76:ZZ76)</f>
        <v>14</v>
      </c>
      <c r="S77">
        <f>COUNTA(books!C76:ZZ76)</f>
        <v>14</v>
      </c>
      <c r="T77">
        <f>COUNTA(rating!C76:ZZ76)</f>
        <v>14</v>
      </c>
      <c r="U77">
        <f t="shared" si="1"/>
        <v>0</v>
      </c>
    </row>
    <row r="78" spans="8:21" x14ac:dyDescent="0.35">
      <c r="H78" s="7" t="str">
        <v>W</v>
      </c>
      <c r="J78" t="str">
        <v>H</v>
      </c>
      <c r="K78" t="str">
        <v>Wells</v>
      </c>
      <c r="L78" t="str">
        <v>H.G. Wells</v>
      </c>
      <c r="M78" t="str">
        <f t="array" ref="M78">VLOOKUP(L78,books!B77,1,0)</f>
        <v>H.G. Wells</v>
      </c>
      <c r="N78">
        <f>COUNTA(books!C77:'books'!ZZ77)</f>
        <v>2</v>
      </c>
      <c r="O78">
        <f t="array" ref="O78">AVERAGE(rating!C77:'rating'!ZZ77)</f>
        <v>9</v>
      </c>
      <c r="P78">
        <f>SUM(COUNTIF(rating!C77:ZZ77, 10))</f>
        <v>0</v>
      </c>
      <c r="R78">
        <f>COUNTA(year!C77:ZZ77)</f>
        <v>2</v>
      </c>
      <c r="S78">
        <f>COUNTA(books!C77:ZZ77)</f>
        <v>2</v>
      </c>
      <c r="T78">
        <f>COUNTA(rating!C77:ZZ77)</f>
        <v>2</v>
      </c>
      <c r="U78">
        <f t="shared" si="1"/>
        <v>0</v>
      </c>
    </row>
    <row r="79" spans="8:21" x14ac:dyDescent="0.35">
      <c r="H79" s="7" t="str">
        <v>C</v>
      </c>
      <c r="J79" t="str">
        <v>J</v>
      </c>
      <c r="K79" t="str">
        <v>Christopher</v>
      </c>
      <c r="L79" t="str">
        <v>John Christopher</v>
      </c>
      <c r="M79" t="str">
        <f t="array" ref="M79">VLOOKUP(L79,books!B78,1,0)</f>
        <v>John Christopher</v>
      </c>
      <c r="N79">
        <f>COUNTA(books!C78:'books'!ZZ78)</f>
        <v>4</v>
      </c>
      <c r="O79">
        <f t="array" ref="O79">AVERAGE(rating!C78:'rating'!ZZ78)</f>
        <v>9</v>
      </c>
      <c r="P79">
        <f>SUM(COUNTIF(rating!C78:ZZ78, 10))</f>
        <v>0</v>
      </c>
      <c r="R79">
        <f>COUNTA(year!C78:ZZ78)</f>
        <v>4</v>
      </c>
      <c r="S79">
        <f>COUNTA(books!C78:ZZ78)</f>
        <v>4</v>
      </c>
      <c r="T79">
        <f>COUNTA(rating!C78:ZZ78)</f>
        <v>4</v>
      </c>
      <c r="U79">
        <f t="shared" si="1"/>
        <v>0</v>
      </c>
    </row>
    <row r="80" spans="8:21" x14ac:dyDescent="0.35">
      <c r="H80" s="7" t="str">
        <v>M</v>
      </c>
      <c r="J80" t="str">
        <v>G</v>
      </c>
      <c r="K80" t="str">
        <v>Morris</v>
      </c>
      <c r="L80" t="str">
        <v>Gerald Morris</v>
      </c>
      <c r="M80" t="str">
        <f t="array" ref="M80">VLOOKUP(L80,books!B79,1,0)</f>
        <v>Gerald Morris</v>
      </c>
      <c r="N80">
        <f>COUNTA(books!C79:'books'!ZZ79)</f>
        <v>10</v>
      </c>
      <c r="O80">
        <f t="array" ref="O80">AVERAGE(rating!C79:'rating'!ZZ79)</f>
        <v>9</v>
      </c>
      <c r="P80">
        <f>SUM(COUNTIF(rating!C79:ZZ79, 10))</f>
        <v>0</v>
      </c>
      <c r="R80">
        <f>COUNTA(year!C79:ZZ79)</f>
        <v>10</v>
      </c>
      <c r="S80">
        <f>COUNTA(books!C79:ZZ79)</f>
        <v>10</v>
      </c>
      <c r="T80">
        <f>COUNTA(rating!C79:ZZ79)</f>
        <v>10</v>
      </c>
      <c r="U80">
        <f t="shared" si="1"/>
        <v>0</v>
      </c>
    </row>
    <row r="81" spans="8:21" x14ac:dyDescent="0.35">
      <c r="H81" s="7" t="str">
        <v>P</v>
      </c>
      <c r="J81" t="str">
        <v>P</v>
      </c>
      <c r="K81" t="str">
        <v>Pullman</v>
      </c>
      <c r="L81" t="str">
        <v>Phillip Pullman</v>
      </c>
      <c r="M81" t="str">
        <f t="array" ref="M81">VLOOKUP(L81,books!B80,1,0)</f>
        <v>Phillip Pullman</v>
      </c>
      <c r="N81">
        <f>COUNTA(books!C80:'books'!ZZ80)</f>
        <v>3</v>
      </c>
      <c r="O81">
        <f t="array" ref="O81">AVERAGE(rating!C80:'rating'!ZZ80)</f>
        <v>9</v>
      </c>
      <c r="P81">
        <f>SUM(COUNTIF(rating!C80:ZZ80, 10))</f>
        <v>0</v>
      </c>
      <c r="R81">
        <f>COUNTA(year!C80:ZZ80)</f>
        <v>3</v>
      </c>
      <c r="S81">
        <f>COUNTA(books!C80:ZZ80)</f>
        <v>3</v>
      </c>
      <c r="T81">
        <f>COUNTA(rating!C80:ZZ80)</f>
        <v>3</v>
      </c>
      <c r="U81">
        <f t="shared" si="1"/>
        <v>0</v>
      </c>
    </row>
    <row r="82" spans="8:21" x14ac:dyDescent="0.35">
      <c r="H82" s="7" t="str">
        <v>D</v>
      </c>
      <c r="J82" t="str">
        <v>D</v>
      </c>
      <c r="K82" t="str">
        <v>Duane</v>
      </c>
      <c r="L82" t="str">
        <v>Diane Duane</v>
      </c>
      <c r="M82" t="str">
        <f t="array" ref="M82">VLOOKUP(L82,books!B81,1,0)</f>
        <v>Diane Duane</v>
      </c>
      <c r="N82">
        <f>COUNTA(books!C81:'books'!ZZ81)</f>
        <v>2</v>
      </c>
      <c r="O82">
        <f t="array" ref="O82">AVERAGE(rating!C81:'rating'!ZZ81)</f>
        <v>8.5</v>
      </c>
      <c r="P82">
        <f>SUM(COUNTIF(rating!C81:ZZ81, 10))</f>
        <v>0</v>
      </c>
      <c r="R82">
        <f>COUNTA(year!C81:ZZ81)</f>
        <v>2</v>
      </c>
      <c r="S82">
        <f>COUNTA(books!C81:ZZ81)</f>
        <v>2</v>
      </c>
      <c r="T82">
        <f>COUNTA(rating!C81:ZZ81)</f>
        <v>2</v>
      </c>
      <c r="U82">
        <f t="shared" si="1"/>
        <v>0</v>
      </c>
    </row>
    <row r="83" spans="8:21" x14ac:dyDescent="0.35">
      <c r="H83" s="7" t="str">
        <v>R</v>
      </c>
      <c r="J83" t="str">
        <v>W</v>
      </c>
      <c r="K83" t="str">
        <v>Rawls</v>
      </c>
      <c r="L83" t="str">
        <v>Wilson Rawls</v>
      </c>
      <c r="M83" t="str">
        <f t="array" ref="M83">VLOOKUP(L83,books!B82,1,0)</f>
        <v>Wilson Rawls</v>
      </c>
      <c r="N83">
        <f>COUNTA(books!C82:'books'!ZZ82)</f>
        <v>1</v>
      </c>
      <c r="O83">
        <f t="array" ref="O83">AVERAGE(rating!C82:'rating'!ZZ82)</f>
        <v>10</v>
      </c>
      <c r="P83">
        <f>SUM(COUNTIF(rating!C82:ZZ82, 10))</f>
        <v>1</v>
      </c>
      <c r="R83">
        <f>COUNTA(year!C82:ZZ82)</f>
        <v>1</v>
      </c>
      <c r="S83">
        <f>COUNTA(books!C82:ZZ82)</f>
        <v>1</v>
      </c>
      <c r="T83">
        <f>COUNTA(rating!C82:ZZ82)</f>
        <v>1</v>
      </c>
      <c r="U83">
        <f t="shared" si="1"/>
        <v>0</v>
      </c>
    </row>
    <row r="84" spans="8:21" x14ac:dyDescent="0.35">
      <c r="H84" s="7" t="str">
        <v>L</v>
      </c>
      <c r="J84" t="str">
        <v>L</v>
      </c>
      <c r="K84" t="str">
        <v>Lamour</v>
      </c>
      <c r="L84" t="str">
        <v>Lois Lamour</v>
      </c>
      <c r="M84" t="str">
        <f t="array" ref="M84">VLOOKUP(L84,books!B83,1,0)</f>
        <v>Lois Lamour</v>
      </c>
      <c r="N84">
        <f>COUNTA(books!C83:'books'!ZZ83)</f>
        <v>2</v>
      </c>
      <c r="O84">
        <f t="array" ref="O84">AVERAGE(rating!C83:'rating'!ZZ83)</f>
        <v>9</v>
      </c>
      <c r="P84">
        <f>SUM(COUNTIF(rating!C83:ZZ83, 10))</f>
        <v>0</v>
      </c>
      <c r="R84">
        <f>COUNTA(year!C83:ZZ83)</f>
        <v>2</v>
      </c>
      <c r="S84">
        <f>COUNTA(books!C83:ZZ83)</f>
        <v>2</v>
      </c>
      <c r="T84">
        <f>COUNTA(rating!C83:ZZ83)</f>
        <v>2</v>
      </c>
      <c r="U84">
        <f t="shared" si="1"/>
        <v>0</v>
      </c>
    </row>
    <row r="85" spans="8:21" x14ac:dyDescent="0.35">
      <c r="H85" s="7" t="str">
        <v>D</v>
      </c>
      <c r="J85" t="str">
        <v>F</v>
      </c>
      <c r="K85" t="str">
        <v>Dixon</v>
      </c>
      <c r="L85" t="str">
        <v>Franklin Dixon</v>
      </c>
      <c r="M85" t="str">
        <f t="array" ref="M85">VLOOKUP(L85,books!B84,1,0)</f>
        <v>Franklin Dixon</v>
      </c>
      <c r="N85">
        <f>COUNTA(books!C84:'books'!ZZ84)</f>
        <v>4</v>
      </c>
      <c r="O85">
        <f t="array" ref="O85">AVERAGE(rating!C84:'rating'!ZZ84)</f>
        <v>6.25</v>
      </c>
      <c r="P85">
        <f>SUM(COUNTIF(rating!C84:ZZ84, 10))</f>
        <v>0</v>
      </c>
      <c r="R85">
        <f>COUNTA(year!C84:ZZ84)</f>
        <v>4</v>
      </c>
      <c r="S85">
        <f>COUNTA(books!C84:ZZ84)</f>
        <v>4</v>
      </c>
      <c r="T85">
        <f>COUNTA(rating!C84:ZZ84)</f>
        <v>4</v>
      </c>
      <c r="U85">
        <f t="shared" si="1"/>
        <v>0</v>
      </c>
    </row>
    <row r="86" spans="8:21" x14ac:dyDescent="0.35">
      <c r="H86" s="7" t="str">
        <v>V</v>
      </c>
      <c r="J86" t="str">
        <v>C</v>
      </c>
      <c r="K86" t="str">
        <v>Vanderpool</v>
      </c>
      <c r="L86" t="str">
        <v>Clare Vanderpool</v>
      </c>
      <c r="M86" t="str">
        <f t="array" ref="M86">VLOOKUP(L86,books!B85,1,0)</f>
        <v>Clare Vanderpool</v>
      </c>
      <c r="N86">
        <f>COUNTA(books!C85:'books'!ZZ85)</f>
        <v>1</v>
      </c>
      <c r="O86">
        <f t="array" ref="O86">AVERAGE(rating!C85:'rating'!ZZ85)</f>
        <v>8</v>
      </c>
      <c r="P86">
        <f>SUM(COUNTIF(rating!C85:ZZ85, 10))</f>
        <v>0</v>
      </c>
      <c r="R86">
        <f>COUNTA(year!C85:ZZ85)</f>
        <v>1</v>
      </c>
      <c r="S86">
        <f>COUNTA(books!C85:ZZ85)</f>
        <v>1</v>
      </c>
      <c r="T86">
        <f>COUNTA(rating!C85:ZZ85)</f>
        <v>1</v>
      </c>
      <c r="U86">
        <f t="shared" si="1"/>
        <v>0</v>
      </c>
    </row>
    <row r="87" spans="8:21" x14ac:dyDescent="0.35">
      <c r="H87" s="7" t="str">
        <v>P</v>
      </c>
      <c r="J87" t="str">
        <v>T</v>
      </c>
      <c r="K87" t="str">
        <v>Porter</v>
      </c>
      <c r="L87" t="str">
        <v>Tracy Porter</v>
      </c>
      <c r="M87" t="str">
        <f t="array" ref="M87">VLOOKUP(L87,books!B86,1,0)</f>
        <v>Tracy Porter</v>
      </c>
      <c r="N87">
        <f>COUNTA(books!C86:'books'!ZZ86)</f>
        <v>1</v>
      </c>
      <c r="O87">
        <f t="array" ref="O87">AVERAGE(rating!C86:'rating'!ZZ86)</f>
        <v>7</v>
      </c>
      <c r="P87">
        <f>SUM(COUNTIF(rating!C86:ZZ86, 10))</f>
        <v>0</v>
      </c>
      <c r="R87">
        <f>COUNTA(year!C86:ZZ86)</f>
        <v>1</v>
      </c>
      <c r="S87">
        <f>COUNTA(books!C86:ZZ86)</f>
        <v>1</v>
      </c>
      <c r="T87">
        <f>COUNTA(rating!C86:ZZ86)</f>
        <v>1</v>
      </c>
      <c r="U87">
        <f t="shared" si="1"/>
        <v>0</v>
      </c>
    </row>
    <row r="88" spans="8:21" x14ac:dyDescent="0.35">
      <c r="H88" s="7" t="str">
        <v>M</v>
      </c>
      <c r="J88" t="str">
        <v>B</v>
      </c>
      <c r="K88" t="str">
        <v>Mull</v>
      </c>
      <c r="L88" t="str">
        <v>Brandon Mull</v>
      </c>
      <c r="M88" t="str">
        <f t="array" ref="M88">VLOOKUP(L88,books!B87,1,0)</f>
        <v>Brandon Mull</v>
      </c>
      <c r="N88">
        <f>COUNTA(books!C87:'books'!ZZ87)</f>
        <v>8</v>
      </c>
      <c r="O88">
        <f t="array" ref="O88">AVERAGE(rating!C87:'rating'!ZZ87)</f>
        <v>8.625</v>
      </c>
      <c r="P88">
        <f>SUM(COUNTIF(rating!C87:ZZ87, 10))</f>
        <v>0</v>
      </c>
      <c r="R88">
        <f>COUNTA(year!C87:ZZ87)</f>
        <v>8</v>
      </c>
      <c r="S88">
        <f>COUNTA(books!C87:ZZ87)</f>
        <v>8</v>
      </c>
      <c r="T88">
        <f>COUNTA(rating!C87:ZZ87)</f>
        <v>8</v>
      </c>
      <c r="U88">
        <f t="shared" si="1"/>
        <v>0</v>
      </c>
    </row>
    <row r="89" spans="8:21" x14ac:dyDescent="0.35">
      <c r="H89" s="7" t="str">
        <v>Z</v>
      </c>
      <c r="J89" t="str">
        <v>G</v>
      </c>
      <c r="K89" t="str">
        <v>Zevin</v>
      </c>
      <c r="L89" t="str">
        <v>Gabrielle Zevin</v>
      </c>
      <c r="M89" t="str">
        <f t="array" ref="M89">VLOOKUP(L89,books!B88,1,0)</f>
        <v>Gabrielle Zevin</v>
      </c>
      <c r="N89">
        <f>COUNTA(books!C88:'books'!ZZ88)</f>
        <v>1</v>
      </c>
      <c r="O89">
        <f t="array" ref="O89">AVERAGE(rating!C88:'rating'!ZZ88)</f>
        <v>10</v>
      </c>
      <c r="P89">
        <f>SUM(COUNTIF(rating!C88:ZZ88, 10))</f>
        <v>1</v>
      </c>
      <c r="R89">
        <f>COUNTA(year!C88:ZZ88)</f>
        <v>1</v>
      </c>
      <c r="S89">
        <f>COUNTA(books!C88:ZZ88)</f>
        <v>1</v>
      </c>
      <c r="T89">
        <f>COUNTA(rating!C88:ZZ88)</f>
        <v>1</v>
      </c>
      <c r="U89">
        <f t="shared" si="1"/>
        <v>0</v>
      </c>
    </row>
    <row r="90" spans="8:21" x14ac:dyDescent="0.35">
      <c r="H90" s="7" t="str">
        <v>S</v>
      </c>
      <c r="J90" t="str">
        <v>N</v>
      </c>
      <c r="K90" t="str">
        <v>Shusterman</v>
      </c>
      <c r="L90" t="str">
        <v>Neal Shusterman</v>
      </c>
      <c r="M90" t="str">
        <f t="array" ref="M90">VLOOKUP(L90,books!B89,1,0)</f>
        <v>Neal Shusterman</v>
      </c>
      <c r="N90">
        <f>COUNTA(books!C89:'books'!ZZ89)</f>
        <v>5</v>
      </c>
      <c r="O90">
        <f t="array" ref="O90">AVERAGE(rating!C89:'rating'!ZZ89)</f>
        <v>9.1999999999999993</v>
      </c>
      <c r="P90">
        <f>SUM(COUNTIF(rating!C89:ZZ89, 10))</f>
        <v>2</v>
      </c>
      <c r="R90">
        <f>COUNTA(year!C89:ZZ89)</f>
        <v>5</v>
      </c>
      <c r="S90">
        <f>COUNTA(books!C89:ZZ89)</f>
        <v>5</v>
      </c>
      <c r="T90">
        <f>COUNTA(rating!C89:ZZ89)</f>
        <v>5</v>
      </c>
      <c r="U90">
        <f t="shared" si="1"/>
        <v>0</v>
      </c>
    </row>
    <row r="91" spans="8:21" x14ac:dyDescent="0.35">
      <c r="H91" s="7" t="str">
        <v>H</v>
      </c>
      <c r="J91" t="str">
        <v>C</v>
      </c>
      <c r="K91" t="str">
        <v>Higson</v>
      </c>
      <c r="L91" t="str">
        <v>Charlie Higson</v>
      </c>
      <c r="M91" t="str">
        <f t="array" ref="M91">VLOOKUP(L91,books!B90,1,0)</f>
        <v>Charlie Higson</v>
      </c>
      <c r="N91">
        <f>COUNTA(books!C90:'books'!ZZ90)</f>
        <v>5</v>
      </c>
      <c r="O91">
        <f t="array" ref="O91">AVERAGE(rating!C90:'rating'!ZZ90)</f>
        <v>8.6</v>
      </c>
      <c r="P91">
        <f>SUM(COUNTIF(rating!C90:ZZ90, 10))</f>
        <v>0</v>
      </c>
      <c r="R91">
        <f>COUNTA(year!C90:ZZ90)</f>
        <v>5</v>
      </c>
      <c r="S91">
        <f>COUNTA(books!C90:ZZ90)</f>
        <v>5</v>
      </c>
      <c r="T91">
        <f>COUNTA(rating!C90:ZZ90)</f>
        <v>5</v>
      </c>
      <c r="U91">
        <f t="shared" si="1"/>
        <v>0</v>
      </c>
    </row>
    <row r="92" spans="8:21" x14ac:dyDescent="0.35">
      <c r="H92" s="7" t="str">
        <v>S</v>
      </c>
      <c r="J92" t="str">
        <v>L</v>
      </c>
      <c r="K92" t="str">
        <v>Snicket</v>
      </c>
      <c r="L92" t="str">
        <v>Lemony Snicket</v>
      </c>
      <c r="M92" t="str">
        <f t="array" ref="M92">VLOOKUP(L92,books!B91,1,0)</f>
        <v>Lemony Snicket</v>
      </c>
      <c r="N92">
        <f>COUNTA(books!C91:'books'!ZZ91)</f>
        <v>13</v>
      </c>
      <c r="O92">
        <f t="array" ref="O92">AVERAGE(rating!C91:'rating'!ZZ91)</f>
        <v>9</v>
      </c>
      <c r="P92">
        <f>SUM(COUNTIF(rating!C91:ZZ91, 10))</f>
        <v>0</v>
      </c>
      <c r="R92">
        <f>COUNTA(year!C91:ZZ91)</f>
        <v>13</v>
      </c>
      <c r="S92">
        <f>COUNTA(books!C91:ZZ91)</f>
        <v>13</v>
      </c>
      <c r="T92">
        <f>COUNTA(rating!C91:ZZ91)</f>
        <v>13</v>
      </c>
      <c r="U92">
        <f t="shared" si="1"/>
        <v>0</v>
      </c>
    </row>
    <row r="93" spans="8:21" x14ac:dyDescent="0.35">
      <c r="H93" s="7" t="str">
        <v>B</v>
      </c>
      <c r="J93" t="str">
        <v>P</v>
      </c>
      <c r="K93" t="str">
        <v>Bosch</v>
      </c>
      <c r="L93" t="str">
        <v>Pseydonymous Bosch</v>
      </c>
      <c r="M93" t="str">
        <f t="array" ref="M93">VLOOKUP(L93,books!B92,1,0)</f>
        <v>Pseydonymous Bosch</v>
      </c>
      <c r="N93">
        <f>COUNTA(books!C92:'books'!ZZ92)</f>
        <v>4</v>
      </c>
      <c r="O93">
        <f t="array" ref="O93">AVERAGE(rating!C92:'rating'!ZZ92)</f>
        <v>9</v>
      </c>
      <c r="P93">
        <f>SUM(COUNTIF(rating!C92:ZZ92, 10))</f>
        <v>0</v>
      </c>
      <c r="R93">
        <f>COUNTA(year!C92:ZZ92)</f>
        <v>4</v>
      </c>
      <c r="S93">
        <f>COUNTA(books!C92:ZZ92)</f>
        <v>4</v>
      </c>
      <c r="T93">
        <f>COUNTA(rating!C92:ZZ92)</f>
        <v>4</v>
      </c>
      <c r="U93">
        <f t="shared" si="1"/>
        <v>0</v>
      </c>
    </row>
    <row r="94" spans="8:21" x14ac:dyDescent="0.35">
      <c r="H94" s="7" t="str">
        <v>C</v>
      </c>
      <c r="J94" t="str">
        <v>M</v>
      </c>
      <c r="K94" t="str">
        <v>Chrichton</v>
      </c>
      <c r="L94" t="str">
        <v>Michael Chrichton</v>
      </c>
      <c r="M94" t="str">
        <f t="array" ref="M94">VLOOKUP(L94,books!B93,1,0)</f>
        <v>Michael Chrichton</v>
      </c>
      <c r="N94">
        <f>COUNTA(books!C93:'books'!ZZ93)</f>
        <v>1</v>
      </c>
      <c r="O94">
        <f t="array" ref="O94">AVERAGE(rating!C93:'rating'!ZZ93)</f>
        <v>7</v>
      </c>
      <c r="P94">
        <f>SUM(COUNTIF(rating!C93:ZZ93, 10))</f>
        <v>0</v>
      </c>
      <c r="R94">
        <f>COUNTA(year!C93:ZZ93)</f>
        <v>1</v>
      </c>
      <c r="S94">
        <f>COUNTA(books!C93:ZZ93)</f>
        <v>1</v>
      </c>
      <c r="T94">
        <f>COUNTA(rating!C93:ZZ93)</f>
        <v>1</v>
      </c>
      <c r="U94">
        <f t="shared" si="1"/>
        <v>0</v>
      </c>
    </row>
    <row r="95" spans="8:21" x14ac:dyDescent="0.35">
      <c r="H95" s="7" t="str">
        <v>K</v>
      </c>
      <c r="J95" t="str">
        <v>N</v>
      </c>
      <c r="K95" t="str">
        <v>Klein</v>
      </c>
      <c r="L95" t="str">
        <v>Naomi Klein</v>
      </c>
      <c r="M95" t="str">
        <f t="array" ref="M95">VLOOKUP(L95,books!B94,1,0)</f>
        <v>Naomi Klein</v>
      </c>
      <c r="N95">
        <f>COUNTA(books!C94:'books'!ZZ94)</f>
        <v>1</v>
      </c>
      <c r="O95">
        <f t="array" ref="O95">AVERAGE(rating!C94:'rating'!ZZ94)</f>
        <v>2</v>
      </c>
      <c r="P95">
        <f>SUM(COUNTIF(rating!C94:ZZ94, 10))</f>
        <v>0</v>
      </c>
      <c r="R95">
        <f>COUNTA(year!C94:ZZ94)</f>
        <v>1</v>
      </c>
      <c r="S95">
        <f>COUNTA(books!C94:ZZ94)</f>
        <v>1</v>
      </c>
      <c r="T95">
        <f>COUNTA(rating!C94:ZZ94)</f>
        <v>1</v>
      </c>
      <c r="U95">
        <f t="shared" si="1"/>
        <v>0</v>
      </c>
    </row>
    <row r="96" spans="8:21" x14ac:dyDescent="0.35">
      <c r="H96" s="7" t="str">
        <v>C</v>
      </c>
      <c r="J96" t="str">
        <v>T</v>
      </c>
      <c r="K96" t="str">
        <v>Coates</v>
      </c>
      <c r="L96" t="str">
        <v>Ta-Nehisi Coates</v>
      </c>
      <c r="M96" t="str">
        <f t="array" ref="M96">VLOOKUP(L96,books!B95,1,0)</f>
        <v>Ta-Nehisi Coates</v>
      </c>
      <c r="N96">
        <f>COUNTA(books!C95:'books'!ZZ95)</f>
        <v>2</v>
      </c>
      <c r="O96">
        <f t="array" ref="O96">AVERAGE(rating!C95:'rating'!ZZ95)</f>
        <v>9</v>
      </c>
      <c r="P96">
        <f>SUM(COUNTIF(rating!C95:ZZ95, 10))</f>
        <v>0</v>
      </c>
      <c r="R96">
        <f>COUNTA(year!C95:ZZ95)</f>
        <v>2</v>
      </c>
      <c r="S96">
        <f>COUNTA(books!C95:ZZ95)</f>
        <v>2</v>
      </c>
      <c r="T96">
        <f>COUNTA(rating!C95:ZZ95)</f>
        <v>2</v>
      </c>
      <c r="U96">
        <f t="shared" si="1"/>
        <v>0</v>
      </c>
    </row>
    <row r="97" spans="8:21" x14ac:dyDescent="0.35">
      <c r="H97" s="7" t="str">
        <v>Y</v>
      </c>
      <c r="J97" t="str">
        <v>M</v>
      </c>
      <c r="K97" t="str">
        <v>Yousef</v>
      </c>
      <c r="L97" t="str">
        <v>Mosab Yousef</v>
      </c>
      <c r="M97" t="str">
        <f t="array" ref="M97">VLOOKUP(L97,books!B96,1,0)</f>
        <v>Mosab Yousef</v>
      </c>
      <c r="N97">
        <f>COUNTA(books!C96:'books'!ZZ96)</f>
        <v>1</v>
      </c>
      <c r="O97">
        <f t="array" ref="O97">AVERAGE(rating!C96:'rating'!ZZ96)</f>
        <v>10</v>
      </c>
      <c r="P97">
        <f>SUM(COUNTIF(rating!C96:ZZ96, 10))</f>
        <v>1</v>
      </c>
      <c r="R97">
        <f>COUNTA(year!C96:ZZ96)</f>
        <v>1</v>
      </c>
      <c r="S97">
        <f>COUNTA(books!C96:ZZ96)</f>
        <v>1</v>
      </c>
      <c r="T97">
        <f>COUNTA(rating!C96:ZZ96)</f>
        <v>1</v>
      </c>
      <c r="U97">
        <f t="shared" si="1"/>
        <v>0</v>
      </c>
    </row>
    <row r="98" spans="8:21" x14ac:dyDescent="0.35">
      <c r="H98" s="7" t="str">
        <v>H</v>
      </c>
      <c r="J98" t="str">
        <v>S</v>
      </c>
      <c r="K98" t="str">
        <v>Hinton</v>
      </c>
      <c r="L98" t="str">
        <v>S.E. Hinton</v>
      </c>
      <c r="M98" t="str">
        <f t="array" ref="M98">VLOOKUP(L98,books!B97,1,0)</f>
        <v>S.E. Hinton</v>
      </c>
      <c r="N98">
        <f>COUNTA(books!C97:'books'!ZZ97)</f>
        <v>3</v>
      </c>
      <c r="O98">
        <f t="array" ref="O98">AVERAGE(rating!C97:'rating'!ZZ97)</f>
        <v>10</v>
      </c>
      <c r="P98">
        <f>SUM(COUNTIF(rating!C97:ZZ97, 10))</f>
        <v>3</v>
      </c>
      <c r="R98">
        <f>COUNTA(year!C97:ZZ97)</f>
        <v>3</v>
      </c>
      <c r="S98">
        <f>COUNTA(books!C97:ZZ97)</f>
        <v>3</v>
      </c>
      <c r="T98">
        <f>COUNTA(rating!C97:ZZ97)</f>
        <v>3</v>
      </c>
      <c r="U98">
        <f t="shared" si="1"/>
        <v>0</v>
      </c>
    </row>
    <row r="99" spans="8:21" x14ac:dyDescent="0.35">
      <c r="H99" s="7" t="str">
        <v>S</v>
      </c>
      <c r="J99" t="str">
        <v>L</v>
      </c>
      <c r="K99" t="str">
        <v>Sachar</v>
      </c>
      <c r="L99" t="str">
        <v>Lois Sachar</v>
      </c>
      <c r="M99" t="str">
        <f t="array" ref="M99">VLOOKUP(L99,books!B98,1,0)</f>
        <v>Lois Sachar</v>
      </c>
      <c r="N99">
        <f>COUNTA(books!C98:'books'!ZZ98)</f>
        <v>3</v>
      </c>
      <c r="O99">
        <f t="array" ref="O99">AVERAGE(rating!C98:'rating'!ZZ98)</f>
        <v>8</v>
      </c>
      <c r="P99">
        <f>SUM(COUNTIF(rating!C98:ZZ98, 10))</f>
        <v>0</v>
      </c>
      <c r="R99">
        <f>COUNTA(year!C98:ZZ98)</f>
        <v>3</v>
      </c>
      <c r="S99">
        <f>COUNTA(books!C98:ZZ98)</f>
        <v>3</v>
      </c>
      <c r="T99">
        <f>COUNTA(rating!C98:ZZ98)</f>
        <v>3</v>
      </c>
      <c r="U99">
        <f t="shared" si="1"/>
        <v>0</v>
      </c>
    </row>
    <row r="100" spans="8:21" x14ac:dyDescent="0.35">
      <c r="H100" s="7" t="str">
        <v>C</v>
      </c>
      <c r="J100" t="str">
        <v>B</v>
      </c>
      <c r="K100" t="str">
        <v>Cleary</v>
      </c>
      <c r="L100" t="str">
        <v>Beverly Cleary</v>
      </c>
      <c r="M100" t="str">
        <f t="array" ref="M100">VLOOKUP(L100,books!B99,1,0)</f>
        <v>Beverly Cleary</v>
      </c>
      <c r="N100">
        <f>COUNTA(books!C99:'books'!ZZ99)</f>
        <v>11</v>
      </c>
      <c r="O100">
        <f t="array" ref="O100">AVERAGE(rating!C99:'rating'!ZZ99)</f>
        <v>8.9090909090909083</v>
      </c>
      <c r="P100">
        <f>SUM(COUNTIF(rating!C99:ZZ99, 10))</f>
        <v>1</v>
      </c>
      <c r="R100">
        <f>COUNTA(year!C99:ZZ99)</f>
        <v>11</v>
      </c>
      <c r="S100">
        <f>COUNTA(books!C99:ZZ99)</f>
        <v>11</v>
      </c>
      <c r="T100">
        <f>COUNTA(rating!C99:ZZ99)</f>
        <v>11</v>
      </c>
      <c r="U100">
        <f t="shared" si="1"/>
        <v>0</v>
      </c>
    </row>
    <row r="101" spans="8:21" x14ac:dyDescent="0.35">
      <c r="H101" s="7" t="str">
        <v>A</v>
      </c>
      <c r="J101" t="str">
        <v>H</v>
      </c>
      <c r="K101" t="str">
        <v>Andersen</v>
      </c>
      <c r="L101" t="str">
        <v>Hans Christian Andersen</v>
      </c>
      <c r="M101" t="str">
        <f t="array" ref="M101">VLOOKUP(L101,books!B100,1,0)</f>
        <v>Hans Christian Andersen</v>
      </c>
      <c r="N101">
        <f>COUNTA(books!C100:'books'!ZZ100)</f>
        <v>1</v>
      </c>
      <c r="O101">
        <f t="array" ref="O101">AVERAGE(rating!C100:'rating'!ZZ100)</f>
        <v>10</v>
      </c>
      <c r="P101">
        <f>SUM(COUNTIF(rating!C100:ZZ100, 10))</f>
        <v>1</v>
      </c>
      <c r="R101">
        <f>COUNTA(year!C100:ZZ100)</f>
        <v>1</v>
      </c>
      <c r="S101">
        <f>COUNTA(books!C100:ZZ100)</f>
        <v>1</v>
      </c>
      <c r="T101">
        <f>COUNTA(rating!C100:ZZ100)</f>
        <v>1</v>
      </c>
      <c r="U101">
        <f t="shared" si="1"/>
        <v>0</v>
      </c>
    </row>
    <row r="102" spans="8:21" x14ac:dyDescent="0.35">
      <c r="H102" s="7" t="str">
        <v>S</v>
      </c>
      <c r="J102" t="str">
        <v>G</v>
      </c>
      <c r="K102" t="str">
        <v>Selden</v>
      </c>
      <c r="L102" t="str">
        <v>George Selden</v>
      </c>
      <c r="M102" t="str">
        <f t="array" ref="M102">VLOOKUP(L102,books!B101,1,0)</f>
        <v>George Selden</v>
      </c>
      <c r="N102">
        <f>COUNTA(books!C101:'books'!ZZ101)</f>
        <v>2</v>
      </c>
      <c r="O102">
        <f t="array" ref="O102">AVERAGE(rating!C101:'rating'!ZZ101)</f>
        <v>9.5</v>
      </c>
      <c r="P102">
        <f>SUM(COUNTIF(rating!C101:ZZ101, 10))</f>
        <v>1</v>
      </c>
      <c r="R102">
        <f>COUNTA(year!C101:ZZ101)</f>
        <v>2</v>
      </c>
      <c r="S102">
        <f>COUNTA(books!C101:ZZ101)</f>
        <v>2</v>
      </c>
      <c r="T102">
        <f>COUNTA(rating!C101:ZZ101)</f>
        <v>2</v>
      </c>
      <c r="U102">
        <f t="shared" si="1"/>
        <v>0</v>
      </c>
    </row>
    <row r="103" spans="8:21" x14ac:dyDescent="0.35">
      <c r="H103" s="7" t="str">
        <v>B</v>
      </c>
      <c r="J103" t="str">
        <v>S</v>
      </c>
      <c r="K103" t="str">
        <v>Bartoletti</v>
      </c>
      <c r="L103" t="str">
        <v>Susan Bartoletti</v>
      </c>
      <c r="M103" t="str">
        <f t="array" ref="M103">VLOOKUP(L103,books!B102,1,0)</f>
        <v>Susan Bartoletti</v>
      </c>
      <c r="N103">
        <f>COUNTA(books!C102:'books'!ZZ102)</f>
        <v>2</v>
      </c>
      <c r="O103">
        <f t="array" ref="O103">AVERAGE(rating!C102:'rating'!ZZ102)</f>
        <v>7</v>
      </c>
      <c r="P103">
        <f>SUM(COUNTIF(rating!C102:ZZ102, 10))</f>
        <v>0</v>
      </c>
      <c r="R103">
        <f>COUNTA(year!C102:ZZ102)</f>
        <v>2</v>
      </c>
      <c r="S103">
        <f>COUNTA(books!C102:ZZ102)</f>
        <v>2</v>
      </c>
      <c r="T103">
        <f>COUNTA(rating!C102:ZZ102)</f>
        <v>2</v>
      </c>
      <c r="U103">
        <f t="shared" si="1"/>
        <v>0</v>
      </c>
    </row>
    <row r="104" spans="8:21" x14ac:dyDescent="0.35">
      <c r="H104" s="7" t="str">
        <v>B</v>
      </c>
      <c r="J104" t="str">
        <v>R</v>
      </c>
      <c r="K104" t="str">
        <v>Bach</v>
      </c>
      <c r="L104" t="str">
        <v>Richard Bach</v>
      </c>
      <c r="M104" t="str">
        <f t="array" ref="M104">VLOOKUP(L104,books!B103,1,0)</f>
        <v>Richard Bach</v>
      </c>
      <c r="N104">
        <f>COUNTA(books!C103:'books'!ZZ103)</f>
        <v>1</v>
      </c>
      <c r="O104">
        <f t="array" ref="O104">AVERAGE(rating!C103:'rating'!ZZ103)</f>
        <v>9</v>
      </c>
      <c r="P104">
        <f>SUM(COUNTIF(rating!C103:ZZ103, 10))</f>
        <v>0</v>
      </c>
      <c r="R104">
        <f>COUNTA(year!C103:ZZ103)</f>
        <v>1</v>
      </c>
      <c r="S104">
        <f>COUNTA(books!C103:ZZ103)</f>
        <v>1</v>
      </c>
      <c r="T104">
        <f>COUNTA(rating!C103:ZZ103)</f>
        <v>1</v>
      </c>
      <c r="U104">
        <f t="shared" si="1"/>
        <v>0</v>
      </c>
    </row>
    <row r="105" spans="8:21" x14ac:dyDescent="0.35">
      <c r="H105" s="7" t="str">
        <v>C</v>
      </c>
      <c r="J105" t="str">
        <v>C</v>
      </c>
      <c r="K105" t="str">
        <v>Chauser</v>
      </c>
      <c r="L105" t="str">
        <v>Chauser</v>
      </c>
      <c r="M105" t="str">
        <f t="array" ref="M105">VLOOKUP(L105,books!B104,1,0)</f>
        <v>Chauser</v>
      </c>
      <c r="N105">
        <f>COUNTA(books!C104:'books'!ZZ104)</f>
        <v>1</v>
      </c>
      <c r="O105">
        <f t="array" ref="O105">AVERAGE(rating!C104:'rating'!ZZ104)</f>
        <v>9</v>
      </c>
      <c r="P105">
        <f>SUM(COUNTIF(rating!C104:ZZ104, 10))</f>
        <v>0</v>
      </c>
      <c r="R105">
        <f>COUNTA(year!C104:ZZ104)</f>
        <v>1</v>
      </c>
      <c r="S105">
        <f>COUNTA(books!C104:ZZ104)</f>
        <v>1</v>
      </c>
      <c r="T105">
        <f>COUNTA(rating!C104:ZZ104)</f>
        <v>1</v>
      </c>
      <c r="U105">
        <f t="shared" si="1"/>
        <v>0</v>
      </c>
    </row>
    <row r="106" spans="8:21" x14ac:dyDescent="0.35">
      <c r="H106" s="7" t="str">
        <v>P</v>
      </c>
      <c r="J106" t="str">
        <v>A</v>
      </c>
      <c r="K106" t="str">
        <v>Petty</v>
      </c>
      <c r="L106" t="str">
        <v>Ann Petty</v>
      </c>
      <c r="M106" t="str">
        <f t="array" ref="M106">VLOOKUP(L106,books!B105,1,0)</f>
        <v>Ann Petty</v>
      </c>
      <c r="N106">
        <f>COUNTA(books!C105:'books'!ZZ105)</f>
        <v>1</v>
      </c>
      <c r="O106">
        <f t="array" ref="O106">AVERAGE(rating!C105:'rating'!ZZ105)</f>
        <v>7</v>
      </c>
      <c r="P106">
        <f>SUM(COUNTIF(rating!C105:ZZ105, 10))</f>
        <v>0</v>
      </c>
      <c r="R106">
        <f>COUNTA(year!C105:ZZ105)</f>
        <v>1</v>
      </c>
      <c r="S106">
        <f>COUNTA(books!C105:ZZ105)</f>
        <v>1</v>
      </c>
      <c r="T106">
        <f>COUNTA(rating!C105:ZZ105)</f>
        <v>1</v>
      </c>
      <c r="U106">
        <f t="shared" si="1"/>
        <v>0</v>
      </c>
    </row>
    <row r="107" spans="8:21" x14ac:dyDescent="0.35">
      <c r="H107" s="7" t="str">
        <v>L</v>
      </c>
      <c r="J107" t="str">
        <v>K</v>
      </c>
      <c r="K107" t="str">
        <v>Little</v>
      </c>
      <c r="L107" t="str">
        <v>Kimberly Little</v>
      </c>
      <c r="M107" t="str">
        <f t="array" ref="M107">VLOOKUP(L107,books!B106,1,0)</f>
        <v>Kimberly Little</v>
      </c>
      <c r="N107">
        <f>COUNTA(books!C106:'books'!ZZ106)</f>
        <v>1</v>
      </c>
      <c r="O107">
        <f t="array" ref="O107">AVERAGE(rating!C106:'rating'!ZZ106)</f>
        <v>8</v>
      </c>
      <c r="P107">
        <f>SUM(COUNTIF(rating!C106:ZZ106, 10))</f>
        <v>0</v>
      </c>
      <c r="R107">
        <f>COUNTA(year!C106:ZZ106)</f>
        <v>1</v>
      </c>
      <c r="S107">
        <f>COUNTA(books!C106:ZZ106)</f>
        <v>1</v>
      </c>
      <c r="T107">
        <f>COUNTA(rating!C106:ZZ106)</f>
        <v>1</v>
      </c>
      <c r="U107">
        <f t="shared" si="1"/>
        <v>0</v>
      </c>
    </row>
    <row r="108" spans="8:21" x14ac:dyDescent="0.35">
      <c r="H108" s="7" t="str">
        <v>I</v>
      </c>
      <c r="J108" t="str">
        <v>W</v>
      </c>
      <c r="K108" t="str">
        <v>Ivring</v>
      </c>
      <c r="L108" t="str">
        <v>Washington Ivring</v>
      </c>
      <c r="M108" t="str">
        <f t="array" ref="M108">VLOOKUP(L108,books!B107,1,0)</f>
        <v>Washington Ivring</v>
      </c>
      <c r="N108">
        <f>COUNTA(books!C107:'books'!ZZ107)</f>
        <v>1</v>
      </c>
      <c r="O108">
        <f t="array" ref="O108">AVERAGE(rating!C107:'rating'!ZZ107)</f>
        <v>8</v>
      </c>
      <c r="P108">
        <f>SUM(COUNTIF(rating!C107:ZZ107, 10))</f>
        <v>0</v>
      </c>
      <c r="R108">
        <f>COUNTA(year!C107:ZZ107)</f>
        <v>1</v>
      </c>
      <c r="S108">
        <f>COUNTA(books!C107:ZZ107)</f>
        <v>1</v>
      </c>
      <c r="T108">
        <f>COUNTA(rating!C107:ZZ107)</f>
        <v>1</v>
      </c>
      <c r="U108">
        <f t="shared" si="1"/>
        <v>0</v>
      </c>
    </row>
    <row r="109" spans="8:21" x14ac:dyDescent="0.35">
      <c r="H109" s="7" t="str">
        <v>I</v>
      </c>
      <c r="J109" t="str">
        <v>E</v>
      </c>
      <c r="K109" t="str">
        <v>Ibbotson</v>
      </c>
      <c r="L109" t="str">
        <v>Eva Ibbotson</v>
      </c>
      <c r="M109" t="str">
        <f t="array" ref="M109">VLOOKUP(L109,books!B108,1,0)</f>
        <v>Eva Ibbotson</v>
      </c>
      <c r="N109">
        <f>COUNTA(books!C108:'books'!ZZ108)</f>
        <v>4</v>
      </c>
      <c r="O109">
        <f t="array" ref="O109">AVERAGE(rating!C108:'rating'!ZZ108)</f>
        <v>9</v>
      </c>
      <c r="P109">
        <f>SUM(COUNTIF(rating!C108:ZZ108, 10))</f>
        <v>1</v>
      </c>
      <c r="R109">
        <f>COUNTA(year!C108:ZZ108)</f>
        <v>4</v>
      </c>
      <c r="S109">
        <f>COUNTA(books!C108:ZZ108)</f>
        <v>4</v>
      </c>
      <c r="T109">
        <f>COUNTA(rating!C108:ZZ108)</f>
        <v>4</v>
      </c>
      <c r="U109">
        <f t="shared" si="1"/>
        <v>0</v>
      </c>
    </row>
    <row r="110" spans="8:21" x14ac:dyDescent="0.35">
      <c r="H110" s="7" t="str">
        <v/>
      </c>
      <c r="J110" t="str">
        <v>K</v>
      </c>
      <c r="K110" t="str">
        <v/>
      </c>
      <c r="L110" t="str">
        <v xml:space="preserve">Kathryn Lasky </v>
      </c>
      <c r="M110" t="str">
        <f t="array" ref="M110">VLOOKUP(L110,books!B109,1,0)</f>
        <v xml:space="preserve">Kathryn Lasky </v>
      </c>
      <c r="N110">
        <f>COUNTA(books!C109:'books'!ZZ109)</f>
        <v>19</v>
      </c>
      <c r="O110">
        <f t="array" ref="O110">AVERAGE(rating!C109:'rating'!ZZ109)</f>
        <v>8.7894736842105257</v>
      </c>
      <c r="P110">
        <f>SUM(COUNTIF(rating!C109:ZZ109, 10))</f>
        <v>0</v>
      </c>
      <c r="R110">
        <f>COUNTA(year!C109:ZZ109)</f>
        <v>19</v>
      </c>
      <c r="S110">
        <f>COUNTA(books!C109:ZZ109)</f>
        <v>19</v>
      </c>
      <c r="T110">
        <f>COUNTA(rating!C109:ZZ109)</f>
        <v>19</v>
      </c>
      <c r="U110">
        <f t="shared" si="1"/>
        <v>0</v>
      </c>
    </row>
    <row r="111" spans="8:21" x14ac:dyDescent="0.35">
      <c r="H111" s="7" t="str">
        <v>L</v>
      </c>
      <c r="J111" t="str">
        <v>J</v>
      </c>
      <c r="K111" t="str">
        <v>Lowenstein</v>
      </c>
      <c r="L111" t="str">
        <v>Janai Lowenstein</v>
      </c>
      <c r="M111" t="str">
        <f t="array" ref="M111">VLOOKUP(L111,books!B110,1,0)</f>
        <v>Janai Lowenstein</v>
      </c>
      <c r="N111">
        <f>COUNTA(books!C110:'books'!ZZ110)</f>
        <v>1</v>
      </c>
      <c r="O111">
        <f t="array" ref="O111">AVERAGE(rating!C110:'rating'!ZZ110)</f>
        <v>9</v>
      </c>
      <c r="P111">
        <f>SUM(COUNTIF(rating!C110:ZZ110, 10))</f>
        <v>0</v>
      </c>
      <c r="R111">
        <f>COUNTA(year!C110:ZZ110)</f>
        <v>1</v>
      </c>
      <c r="S111">
        <f>COUNTA(books!C110:ZZ110)</f>
        <v>1</v>
      </c>
      <c r="T111">
        <f>COUNTA(rating!C110:ZZ110)</f>
        <v>1</v>
      </c>
      <c r="U111">
        <f t="shared" si="1"/>
        <v>0</v>
      </c>
    </row>
    <row r="112" spans="8:21" x14ac:dyDescent="0.35">
      <c r="H112" s="7" t="str">
        <v>A</v>
      </c>
      <c r="J112" t="str">
        <v>R</v>
      </c>
      <c r="K112" t="str">
        <v>Adams</v>
      </c>
      <c r="L112" t="str">
        <v>Richard Adams</v>
      </c>
      <c r="M112" t="str">
        <f t="array" ref="M112">VLOOKUP(L112,books!B111,1,0)</f>
        <v>Richard Adams</v>
      </c>
      <c r="N112">
        <f>COUNTA(books!C111:'books'!ZZ111)</f>
        <v>1</v>
      </c>
      <c r="O112">
        <f t="array" ref="O112">AVERAGE(rating!C111:'rating'!ZZ111)</f>
        <v>9</v>
      </c>
      <c r="P112">
        <f>SUM(COUNTIF(rating!C111:ZZ111, 10))</f>
        <v>0</v>
      </c>
      <c r="R112">
        <f>COUNTA(year!C111:ZZ111)</f>
        <v>1</v>
      </c>
      <c r="S112">
        <f>COUNTA(books!C111:ZZ111)</f>
        <v>1</v>
      </c>
      <c r="T112">
        <f>COUNTA(rating!C111:ZZ111)</f>
        <v>1</v>
      </c>
      <c r="U112">
        <f t="shared" si="1"/>
        <v>0</v>
      </c>
    </row>
    <row r="113" spans="8:21" x14ac:dyDescent="0.35">
      <c r="H113" s="7" t="str">
        <v>T</v>
      </c>
      <c r="J113" t="str">
        <v>M</v>
      </c>
      <c r="K113" t="str">
        <v>Trapp</v>
      </c>
      <c r="L113" t="str">
        <v>Maria Trapp</v>
      </c>
      <c r="M113" t="str">
        <f t="array" ref="M113">VLOOKUP(L113,books!B112,1,0)</f>
        <v>Maria Trapp</v>
      </c>
      <c r="N113">
        <f>COUNTA(books!C112:'books'!ZZ112)</f>
        <v>1</v>
      </c>
      <c r="O113">
        <f t="array" ref="O113">AVERAGE(rating!C112:'rating'!ZZ112)</f>
        <v>8</v>
      </c>
      <c r="P113">
        <f>SUM(COUNTIF(rating!C112:ZZ112, 10))</f>
        <v>0</v>
      </c>
      <c r="R113">
        <f>COUNTA(year!C112:ZZ112)</f>
        <v>1</v>
      </c>
      <c r="S113">
        <f>COUNTA(books!C112:ZZ112)</f>
        <v>1</v>
      </c>
      <c r="T113">
        <f>COUNTA(rating!C112:ZZ112)</f>
        <v>1</v>
      </c>
      <c r="U113">
        <f t="shared" si="1"/>
        <v>0</v>
      </c>
    </row>
    <row r="114" spans="8:21" x14ac:dyDescent="0.35">
      <c r="H114" s="7" t="str">
        <v>C</v>
      </c>
      <c r="J114" t="str">
        <v>P</v>
      </c>
      <c r="K114" t="str">
        <v>Carman</v>
      </c>
      <c r="L114" t="str">
        <v>Patrick Carman</v>
      </c>
      <c r="M114" t="str">
        <f t="array" ref="M114">VLOOKUP(L114,books!B113,1,0)</f>
        <v>Patrick Carman</v>
      </c>
      <c r="N114">
        <f>COUNTA(books!C113:'books'!ZZ113)</f>
        <v>8</v>
      </c>
      <c r="O114">
        <f t="array" ref="O114">AVERAGE(rating!C113:'rating'!ZZ113)</f>
        <v>8.625</v>
      </c>
      <c r="P114">
        <f>SUM(COUNTIF(rating!C113:ZZ113, 10))</f>
        <v>1</v>
      </c>
      <c r="R114">
        <f>COUNTA(year!C113:ZZ113)</f>
        <v>8</v>
      </c>
      <c r="S114">
        <f>COUNTA(books!C113:ZZ113)</f>
        <v>8</v>
      </c>
      <c r="T114">
        <f>COUNTA(rating!C113:ZZ113)</f>
        <v>8</v>
      </c>
      <c r="U114">
        <f t="shared" si="1"/>
        <v>0</v>
      </c>
    </row>
    <row r="115" spans="8:21" x14ac:dyDescent="0.35">
      <c r="H115" s="7" t="str">
        <v>F</v>
      </c>
      <c r="J115" t="str">
        <v>J</v>
      </c>
      <c r="K115" t="str">
        <v>Flanagan</v>
      </c>
      <c r="L115" t="str">
        <v>John Flanagan</v>
      </c>
      <c r="M115" t="str">
        <f t="array" ref="M115">VLOOKUP(L115,books!B114,1,0)</f>
        <v>John Flanagan</v>
      </c>
      <c r="N115">
        <f>COUNTA(books!C114:'books'!ZZ114)</f>
        <v>16</v>
      </c>
      <c r="O115">
        <f t="array" ref="O115">AVERAGE(rating!C114:'rating'!ZZ114)</f>
        <v>9.75</v>
      </c>
      <c r="P115">
        <f>SUM(COUNTIF(rating!C114:ZZ114, 10))</f>
        <v>12</v>
      </c>
      <c r="R115">
        <f>COUNTA(year!C114:ZZ114)</f>
        <v>16</v>
      </c>
      <c r="S115">
        <f>COUNTA(books!C114:ZZ114)</f>
        <v>16</v>
      </c>
      <c r="T115">
        <f>COUNTA(rating!C114:ZZ114)</f>
        <v>16</v>
      </c>
      <c r="U115">
        <f t="shared" si="1"/>
        <v>0</v>
      </c>
    </row>
    <row r="116" spans="8:21" x14ac:dyDescent="0.35">
      <c r="H116" s="7" t="str">
        <v>C</v>
      </c>
      <c r="J116" t="str">
        <v>E</v>
      </c>
      <c r="K116" t="str">
        <v>Colfer</v>
      </c>
      <c r="L116" t="str">
        <v>Eoin Colfer</v>
      </c>
      <c r="M116" t="str">
        <f t="array" ref="M116">VLOOKUP(L116,books!B115,1,0)</f>
        <v>Eoin Colfer</v>
      </c>
      <c r="N116">
        <f>COUNTA(books!C115:'books'!ZZ115)</f>
        <v>9</v>
      </c>
      <c r="O116">
        <f t="array" ref="O116">AVERAGE(rating!C115:'rating'!ZZ115)</f>
        <v>9.5555555555555554</v>
      </c>
      <c r="P116">
        <f>SUM(COUNTIF(rating!C115:ZZ115, 10))</f>
        <v>5</v>
      </c>
      <c r="R116">
        <f>COUNTA(year!C115:ZZ115)</f>
        <v>9</v>
      </c>
      <c r="S116">
        <f>COUNTA(books!C115:ZZ115)</f>
        <v>9</v>
      </c>
      <c r="T116">
        <f>COUNTA(rating!C115:ZZ115)</f>
        <v>9</v>
      </c>
      <c r="U116">
        <f t="shared" si="1"/>
        <v>0</v>
      </c>
    </row>
    <row r="117" spans="8:21" x14ac:dyDescent="0.35">
      <c r="H117" s="7" t="str">
        <v>F</v>
      </c>
      <c r="J117" t="str">
        <v>C</v>
      </c>
      <c r="K117" t="str">
        <v>Fisher</v>
      </c>
      <c r="L117" t="str">
        <v>Catherine Fisher</v>
      </c>
      <c r="M117" t="str">
        <f t="array" ref="M117">VLOOKUP(L117,books!B116,1,0)</f>
        <v>Catherine Fisher</v>
      </c>
      <c r="N117">
        <f>COUNTA(books!C116:'books'!ZZ116)</f>
        <v>3</v>
      </c>
      <c r="O117">
        <f t="array" ref="O117">AVERAGE(rating!C116:'rating'!ZZ116)</f>
        <v>8.3333333333333339</v>
      </c>
      <c r="P117">
        <f>SUM(COUNTIF(rating!C116:ZZ116, 10))</f>
        <v>1</v>
      </c>
      <c r="R117">
        <f>COUNTA(year!C116:ZZ116)</f>
        <v>3</v>
      </c>
      <c r="S117">
        <f>COUNTA(books!C116:ZZ116)</f>
        <v>3</v>
      </c>
      <c r="T117">
        <f>COUNTA(rating!C116:ZZ116)</f>
        <v>3</v>
      </c>
      <c r="U117">
        <f t="shared" si="1"/>
        <v>0</v>
      </c>
    </row>
    <row r="118" spans="8:21" x14ac:dyDescent="0.35">
      <c r="H118" s="7" t="str">
        <v>K</v>
      </c>
      <c r="J118" t="str">
        <v>E</v>
      </c>
      <c r="K118" t="str">
        <v>Kay</v>
      </c>
      <c r="L118" t="str">
        <v>Elizabeth Kay</v>
      </c>
      <c r="M118" t="str">
        <f t="array" ref="M118">VLOOKUP(L118,books!B117,1,0)</f>
        <v>Elizabeth Kay</v>
      </c>
      <c r="N118">
        <f>COUNTA(books!C117:'books'!ZZ117)</f>
        <v>3</v>
      </c>
      <c r="O118">
        <f t="array" ref="O118">AVERAGE(rating!C117:'rating'!ZZ117)</f>
        <v>9</v>
      </c>
      <c r="P118">
        <f>SUM(COUNTIF(rating!C117:ZZ117, 10))</f>
        <v>1</v>
      </c>
      <c r="R118">
        <f>COUNTA(year!C117:ZZ117)</f>
        <v>3</v>
      </c>
      <c r="S118">
        <f>COUNTA(books!C117:ZZ117)</f>
        <v>3</v>
      </c>
      <c r="T118">
        <f>COUNTA(rating!C117:ZZ117)</f>
        <v>3</v>
      </c>
      <c r="U118">
        <f t="shared" si="1"/>
        <v>0</v>
      </c>
    </row>
    <row r="119" spans="8:21" x14ac:dyDescent="0.35">
      <c r="H119" s="7" t="str">
        <v>W</v>
      </c>
      <c r="J119" t="str">
        <v>C</v>
      </c>
      <c r="K119" t="str">
        <v>Wilkinson</v>
      </c>
      <c r="L119" t="str">
        <v>Carole Wilkinson</v>
      </c>
      <c r="M119" t="str">
        <f t="array" ref="M119">VLOOKUP(L119,books!B118,1,0)</f>
        <v>Carole Wilkinson</v>
      </c>
      <c r="N119">
        <f>COUNTA(books!C118:'books'!ZZ118)</f>
        <v>1</v>
      </c>
      <c r="O119">
        <f t="array" ref="O119">AVERAGE(rating!C118:'rating'!ZZ118)</f>
        <v>10</v>
      </c>
      <c r="P119">
        <f>SUM(COUNTIF(rating!C118:ZZ118, 10))</f>
        <v>1</v>
      </c>
      <c r="R119">
        <f>COUNTA(year!C118:ZZ118)</f>
        <v>1</v>
      </c>
      <c r="S119">
        <f>COUNTA(books!C118:ZZ118)</f>
        <v>1</v>
      </c>
      <c r="T119">
        <f>COUNTA(rating!C118:ZZ118)</f>
        <v>1</v>
      </c>
      <c r="U119">
        <f t="shared" si="1"/>
        <v>0</v>
      </c>
    </row>
    <row r="120" spans="8:21" x14ac:dyDescent="0.35">
      <c r="H120" s="7" t="str">
        <v>W</v>
      </c>
      <c r="J120" t="str">
        <v>S</v>
      </c>
      <c r="K120" t="str">
        <v>Westerfeld</v>
      </c>
      <c r="L120" t="str">
        <v>Scott Westerfeld</v>
      </c>
      <c r="M120" t="str">
        <f t="array" ref="M120">VLOOKUP(L120,books!B119,1,0)</f>
        <v>Scott Westerfeld</v>
      </c>
      <c r="N120">
        <f>COUNTA(books!C119:'books'!ZZ119)</f>
        <v>3</v>
      </c>
      <c r="O120">
        <f t="array" ref="O120">AVERAGE(rating!C119:'rating'!ZZ119)</f>
        <v>6.333333333333333</v>
      </c>
      <c r="P120">
        <f>SUM(COUNTIF(rating!C119:ZZ119, 10))</f>
        <v>0</v>
      </c>
      <c r="R120">
        <f>COUNTA(year!C119:ZZ119)</f>
        <v>3</v>
      </c>
      <c r="S120">
        <f>COUNTA(books!C119:ZZ119)</f>
        <v>3</v>
      </c>
      <c r="T120">
        <f>COUNTA(rating!C119:ZZ119)</f>
        <v>3</v>
      </c>
      <c r="U120">
        <f t="shared" si="1"/>
        <v>0</v>
      </c>
    </row>
    <row r="121" spans="8:21" x14ac:dyDescent="0.35">
      <c r="H121" s="7" t="str">
        <v>C</v>
      </c>
      <c r="J121" t="str">
        <v>O</v>
      </c>
      <c r="K121" t="str">
        <v>Card</v>
      </c>
      <c r="L121" t="str">
        <v>Orson Scott Card</v>
      </c>
      <c r="M121" t="str">
        <f t="array" ref="M121">VLOOKUP(L121,books!B120,1,0)</f>
        <v>Orson Scott Card</v>
      </c>
      <c r="N121">
        <f>COUNTA(books!C120:'books'!ZZ120)</f>
        <v>11</v>
      </c>
      <c r="O121">
        <f t="array" ref="O121">AVERAGE(rating!C120:'rating'!ZZ120)</f>
        <v>9.454545454545455</v>
      </c>
      <c r="P121">
        <f>SUM(COUNTIF(rating!C120:ZZ120, 10))</f>
        <v>7</v>
      </c>
      <c r="R121">
        <f>COUNTA(year!C120:ZZ120)</f>
        <v>11</v>
      </c>
      <c r="S121">
        <f>COUNTA(books!C120:ZZ120)</f>
        <v>11</v>
      </c>
      <c r="T121">
        <f>COUNTA(rating!C120:ZZ120)</f>
        <v>11</v>
      </c>
      <c r="U121">
        <f t="shared" si="1"/>
        <v>0</v>
      </c>
    </row>
    <row r="122" spans="8:21" x14ac:dyDescent="0.35">
      <c r="H122" s="7" t="str">
        <v>D</v>
      </c>
      <c r="J122" t="str">
        <v>J</v>
      </c>
      <c r="K122" t="str">
        <v>DuPrau</v>
      </c>
      <c r="L122" t="str">
        <v>Jeanne DuPrau</v>
      </c>
      <c r="M122" t="str">
        <f t="array" ref="M122">VLOOKUP(L122,books!B121,1,0)</f>
        <v>Jeanne DuPrau</v>
      </c>
      <c r="N122">
        <f>COUNTA(books!C121:'books'!ZZ121)</f>
        <v>4</v>
      </c>
      <c r="O122">
        <f t="array" ref="O122">AVERAGE(rating!C121:'rating'!ZZ121)</f>
        <v>8.75</v>
      </c>
      <c r="P122">
        <f>SUM(COUNTIF(rating!C121:ZZ121, 10))</f>
        <v>0</v>
      </c>
      <c r="R122">
        <f>COUNTA(year!C121:ZZ121)</f>
        <v>4</v>
      </c>
      <c r="S122">
        <f>COUNTA(books!C121:ZZ121)</f>
        <v>4</v>
      </c>
      <c r="T122">
        <f>COUNTA(rating!C121:ZZ121)</f>
        <v>4</v>
      </c>
      <c r="U122">
        <f t="shared" si="1"/>
        <v>0</v>
      </c>
    </row>
    <row r="123" spans="8:21" x14ac:dyDescent="0.35">
      <c r="H123" s="7" t="str">
        <v>L</v>
      </c>
      <c r="J123" t="str">
        <v>H</v>
      </c>
      <c r="K123" t="str">
        <v>Lee</v>
      </c>
      <c r="L123" t="str">
        <v>Harper Lee</v>
      </c>
      <c r="M123" t="str">
        <f t="array" ref="M123">VLOOKUP(L123,books!B122,1,0)</f>
        <v>Harper Lee</v>
      </c>
      <c r="N123">
        <f>COUNTA(books!C122:'books'!ZZ122)</f>
        <v>1</v>
      </c>
      <c r="O123">
        <f t="array" ref="O123">AVERAGE(rating!C122:'rating'!ZZ122)</f>
        <v>9</v>
      </c>
      <c r="P123">
        <f>SUM(COUNTIF(rating!C122:ZZ122, 10))</f>
        <v>0</v>
      </c>
      <c r="R123">
        <f>COUNTA(year!C122:ZZ122)</f>
        <v>1</v>
      </c>
      <c r="S123">
        <f>COUNTA(books!C122:ZZ122)</f>
        <v>1</v>
      </c>
      <c r="T123">
        <f>COUNTA(rating!C122:ZZ122)</f>
        <v>1</v>
      </c>
      <c r="U123">
        <f t="shared" si="1"/>
        <v>0</v>
      </c>
    </row>
    <row r="124" spans="8:21" x14ac:dyDescent="0.35">
      <c r="H124" s="7" t="str">
        <v>S</v>
      </c>
      <c r="J124" t="str">
        <v>M</v>
      </c>
      <c r="K124" t="str">
        <v>Scott</v>
      </c>
      <c r="L124" t="str">
        <v>Michael Scott</v>
      </c>
      <c r="M124" t="str">
        <f t="array" ref="M124">VLOOKUP(L124,books!B123,1,0)</f>
        <v>Michael Scott</v>
      </c>
      <c r="N124">
        <f>COUNTA(books!C123:'books'!ZZ123)</f>
        <v>6</v>
      </c>
      <c r="O124">
        <f t="array" ref="O124">AVERAGE(rating!C123:'rating'!ZZ123)</f>
        <v>9.3333333333333339</v>
      </c>
      <c r="P124">
        <f>SUM(COUNTIF(rating!C123:ZZ123, 10))</f>
        <v>2</v>
      </c>
      <c r="R124">
        <f>COUNTA(year!C123:ZZ123)</f>
        <v>6</v>
      </c>
      <c r="S124">
        <f>COUNTA(books!C123:ZZ123)</f>
        <v>6</v>
      </c>
      <c r="T124">
        <f>COUNTA(rating!C123:ZZ123)</f>
        <v>6</v>
      </c>
      <c r="U124">
        <f t="shared" si="1"/>
        <v>0</v>
      </c>
    </row>
    <row r="125" spans="8:21" x14ac:dyDescent="0.35">
      <c r="H125" s="7" t="str">
        <v>M</v>
      </c>
      <c r="J125" t="str">
        <v>L</v>
      </c>
      <c r="K125" t="str">
        <v>Montgomery</v>
      </c>
      <c r="L125" t="str">
        <v>Lucy Montgomery</v>
      </c>
      <c r="M125" t="str">
        <f t="array" ref="M125">VLOOKUP(L125,books!B124,1,0)</f>
        <v>Lucy Montgomery</v>
      </c>
      <c r="N125">
        <f>COUNTA(books!C124:'books'!ZZ124)</f>
        <v>8</v>
      </c>
      <c r="O125">
        <f t="array" ref="O125">AVERAGE(rating!C124:'rating'!ZZ124)</f>
        <v>9.125</v>
      </c>
      <c r="P125">
        <f>SUM(COUNTIF(rating!C124:ZZ124, 10))</f>
        <v>1</v>
      </c>
      <c r="R125">
        <f>COUNTA(year!C124:ZZ124)</f>
        <v>8</v>
      </c>
      <c r="S125">
        <f>COUNTA(books!C124:ZZ124)</f>
        <v>8</v>
      </c>
      <c r="T125">
        <f>COUNTA(rating!C124:ZZ124)</f>
        <v>8</v>
      </c>
      <c r="U125">
        <f t="shared" si="1"/>
        <v>0</v>
      </c>
    </row>
    <row r="126" spans="8:21" x14ac:dyDescent="0.35">
      <c r="H126" s="7" t="str">
        <v>C</v>
      </c>
      <c r="J126" t="str">
        <v>B</v>
      </c>
      <c r="K126" t="str">
        <v>Coville</v>
      </c>
      <c r="L126" t="str">
        <v>Bruce Coville</v>
      </c>
      <c r="M126" t="str">
        <f t="array" ref="M126">VLOOKUP(L126,books!B125,1,0)</f>
        <v>Bruce Coville</v>
      </c>
      <c r="N126">
        <f>COUNTA(books!C125:'books'!ZZ125)</f>
        <v>4</v>
      </c>
      <c r="O126">
        <f t="array" ref="O126">AVERAGE(rating!C125:'rating'!ZZ125)</f>
        <v>9.5</v>
      </c>
      <c r="P126">
        <f>SUM(COUNTIF(rating!C125:ZZ125, 10))</f>
        <v>2</v>
      </c>
      <c r="R126">
        <f>COUNTA(year!C125:ZZ125)</f>
        <v>4</v>
      </c>
      <c r="S126">
        <f>COUNTA(books!C125:ZZ125)</f>
        <v>4</v>
      </c>
      <c r="T126">
        <f>COUNTA(rating!C125:ZZ125)</f>
        <v>4</v>
      </c>
      <c r="U126">
        <f t="shared" si="1"/>
        <v>0</v>
      </c>
    </row>
    <row r="127" spans="8:21" x14ac:dyDescent="0.35">
      <c r="H127" s="7" t="str">
        <v>S</v>
      </c>
      <c r="J127" t="str">
        <v>R</v>
      </c>
      <c r="K127" t="str">
        <v>Stevenson</v>
      </c>
      <c r="L127" t="str">
        <v>Robert Stevenson</v>
      </c>
      <c r="M127" t="str">
        <f t="array" ref="M127">VLOOKUP(L127,books!B126,1,0)</f>
        <v>Robert Stevenson</v>
      </c>
      <c r="N127">
        <f>COUNTA(books!C126:'books'!ZZ126)</f>
        <v>1</v>
      </c>
      <c r="O127">
        <f t="array" ref="O127">AVERAGE(rating!C126:'rating'!ZZ126)</f>
        <v>8</v>
      </c>
      <c r="P127">
        <f>SUM(COUNTIF(rating!C126:ZZ126, 10))</f>
        <v>0</v>
      </c>
      <c r="R127">
        <f>COUNTA(year!C126:ZZ126)</f>
        <v>1</v>
      </c>
      <c r="S127">
        <f>COUNTA(books!C126:ZZ126)</f>
        <v>1</v>
      </c>
      <c r="T127">
        <f>COUNTA(rating!C126:ZZ126)</f>
        <v>1</v>
      </c>
      <c r="U127">
        <f t="shared" si="1"/>
        <v>0</v>
      </c>
    </row>
    <row r="128" spans="8:21" x14ac:dyDescent="0.35">
      <c r="H128" s="7" t="str">
        <v>K</v>
      </c>
      <c r="J128" t="str">
        <v>C</v>
      </c>
      <c r="K128" t="str">
        <v>Kostick</v>
      </c>
      <c r="L128" t="str">
        <v>Conor Kostick</v>
      </c>
      <c r="M128" t="str">
        <f t="array" ref="M128">VLOOKUP(L128,books!B127,1,0)</f>
        <v>Conor Kostick</v>
      </c>
      <c r="N128">
        <f>COUNTA(books!C127:'books'!ZZ127)</f>
        <v>2</v>
      </c>
      <c r="O128">
        <f t="array" ref="O128">AVERAGE(rating!C127:'rating'!ZZ127)</f>
        <v>8.5</v>
      </c>
      <c r="P128">
        <f>SUM(COUNTIF(rating!C127:ZZ127, 10))</f>
        <v>0</v>
      </c>
      <c r="R128">
        <f>COUNTA(year!C127:ZZ127)</f>
        <v>2</v>
      </c>
      <c r="S128">
        <f>COUNTA(books!C127:ZZ127)</f>
        <v>2</v>
      </c>
      <c r="T128">
        <f>COUNTA(rating!C127:ZZ127)</f>
        <v>2</v>
      </c>
      <c r="U128">
        <f t="shared" si="1"/>
        <v>0</v>
      </c>
    </row>
    <row r="129" spans="8:21" x14ac:dyDescent="0.35">
      <c r="H129" s="7" t="str">
        <v>E</v>
      </c>
      <c r="J129" t="str">
        <v>E</v>
      </c>
      <c r="K129" t="str">
        <v>Eager</v>
      </c>
      <c r="L129" t="str">
        <v>Edward Eager</v>
      </c>
      <c r="M129" t="str">
        <f t="array" ref="M129">VLOOKUP(L129,books!B128,1,0)</f>
        <v>Edward Eager</v>
      </c>
      <c r="N129">
        <f>COUNTA(books!C128:'books'!ZZ128)</f>
        <v>3</v>
      </c>
      <c r="O129">
        <f t="array" ref="O129">AVERAGE(rating!C128:'rating'!ZZ128)</f>
        <v>9.6666666666666661</v>
      </c>
      <c r="P129">
        <f>SUM(COUNTIF(rating!C128:ZZ128, 10))</f>
        <v>2</v>
      </c>
      <c r="R129">
        <f>COUNTA(year!C128:ZZ128)</f>
        <v>3</v>
      </c>
      <c r="S129">
        <f>COUNTA(books!C128:ZZ128)</f>
        <v>3</v>
      </c>
      <c r="T129">
        <f>COUNTA(rating!C128:ZZ128)</f>
        <v>3</v>
      </c>
      <c r="U129">
        <f t="shared" si="1"/>
        <v>0</v>
      </c>
    </row>
    <row r="130" spans="8:21" x14ac:dyDescent="0.35">
      <c r="H130" s="7" t="str">
        <v>G</v>
      </c>
      <c r="J130" t="str">
        <v>M</v>
      </c>
      <c r="K130" t="str">
        <v>Grant</v>
      </c>
      <c r="L130" t="str">
        <v>Michael Grant</v>
      </c>
      <c r="M130" t="str">
        <f t="array" ref="M130">VLOOKUP(L130,books!B129,1,0)</f>
        <v>Michael Grant</v>
      </c>
      <c r="N130">
        <f>COUNTA(books!C129:'books'!ZZ129)</f>
        <v>6</v>
      </c>
      <c r="O130">
        <f t="array" ref="O130">AVERAGE(rating!C129:'rating'!ZZ129)</f>
        <v>9</v>
      </c>
      <c r="P130">
        <f>SUM(COUNTIF(rating!C129:ZZ129, 10))</f>
        <v>0</v>
      </c>
      <c r="R130">
        <f>COUNTA(year!C129:ZZ129)</f>
        <v>6</v>
      </c>
      <c r="S130">
        <f>COUNTA(books!C129:ZZ129)</f>
        <v>6</v>
      </c>
      <c r="T130">
        <f>COUNTA(rating!C129:ZZ129)</f>
        <v>6</v>
      </c>
      <c r="U130">
        <f t="shared" si="1"/>
        <v>0</v>
      </c>
    </row>
    <row r="131" spans="8:21" x14ac:dyDescent="0.35">
      <c r="H131" s="7" t="str">
        <v>G</v>
      </c>
      <c r="J131" t="str">
        <v>J</v>
      </c>
      <c r="K131" t="str">
        <v>George</v>
      </c>
      <c r="L131" t="str">
        <v>Jean George</v>
      </c>
      <c r="M131" t="str">
        <f t="array" ref="M131">VLOOKUP(L131,books!B130,1,0)</f>
        <v>Jean George</v>
      </c>
      <c r="N131">
        <f>COUNTA(books!C130:'books'!ZZ130)</f>
        <v>12</v>
      </c>
      <c r="O131">
        <f t="array" ref="O131">AVERAGE(rating!C130:'rating'!ZZ130)</f>
        <v>9.5</v>
      </c>
      <c r="P131">
        <f>SUM(COUNTIF(rating!C130:ZZ130, 10))</f>
        <v>6</v>
      </c>
      <c r="R131">
        <f>COUNTA(year!C130:ZZ130)</f>
        <v>12</v>
      </c>
      <c r="S131">
        <f>COUNTA(books!C130:ZZ130)</f>
        <v>12</v>
      </c>
      <c r="T131">
        <f>COUNTA(rating!C130:ZZ130)</f>
        <v>12</v>
      </c>
      <c r="U131">
        <f t="shared" ref="U131:U194" si="2">R131-T131</f>
        <v>0</v>
      </c>
    </row>
    <row r="132" spans="8:21" x14ac:dyDescent="0.35">
      <c r="H132" s="7" t="str">
        <v>W</v>
      </c>
      <c r="J132" t="str">
        <v>M</v>
      </c>
      <c r="K132" t="str">
        <v>Wojciechowska</v>
      </c>
      <c r="L132" t="str">
        <v>Maia Wojciechowska</v>
      </c>
      <c r="M132" t="str">
        <f t="array" ref="M132">VLOOKUP(L132,books!B131,1,0)</f>
        <v>Maia Wojciechowska</v>
      </c>
      <c r="N132">
        <f>COUNTA(books!C131:'books'!ZZ131)</f>
        <v>1</v>
      </c>
      <c r="O132">
        <f t="array" ref="O132">AVERAGE(rating!C131:'rating'!ZZ131)</f>
        <v>7</v>
      </c>
      <c r="P132">
        <f>SUM(COUNTIF(rating!C131:ZZ131, 10))</f>
        <v>0</v>
      </c>
      <c r="R132">
        <f>COUNTA(year!C131:ZZ131)</f>
        <v>1</v>
      </c>
      <c r="S132">
        <f>COUNTA(books!C131:ZZ131)</f>
        <v>1</v>
      </c>
      <c r="T132">
        <f>COUNTA(rating!C131:ZZ131)</f>
        <v>1</v>
      </c>
      <c r="U132">
        <f t="shared" si="2"/>
        <v>0</v>
      </c>
    </row>
    <row r="133" spans="8:21" x14ac:dyDescent="0.35">
      <c r="H133" s="7" t="str">
        <v>V</v>
      </c>
      <c r="J133" t="str">
        <v>J</v>
      </c>
      <c r="K133" t="str">
        <v>Verne</v>
      </c>
      <c r="L133" t="str">
        <v>Jules Verne</v>
      </c>
      <c r="M133" t="str">
        <f t="array" ref="M133">VLOOKUP(L133,books!B132,1,0)</f>
        <v>Jules Verne</v>
      </c>
      <c r="N133">
        <f>COUNTA(books!C132:'books'!ZZ132)</f>
        <v>2</v>
      </c>
      <c r="O133">
        <f t="array" ref="O133">AVERAGE(rating!C132:'rating'!ZZ132)</f>
        <v>7.5</v>
      </c>
      <c r="P133">
        <f>SUM(COUNTIF(rating!C132:ZZ132, 10))</f>
        <v>0</v>
      </c>
      <c r="R133">
        <f>COUNTA(year!C132:ZZ132)</f>
        <v>2</v>
      </c>
      <c r="S133">
        <f>COUNTA(books!C132:ZZ132)</f>
        <v>2</v>
      </c>
      <c r="T133">
        <f>COUNTA(rating!C132:ZZ132)</f>
        <v>2</v>
      </c>
      <c r="U133">
        <f t="shared" si="2"/>
        <v>0</v>
      </c>
    </row>
    <row r="134" spans="8:21" x14ac:dyDescent="0.35">
      <c r="H134" s="7" t="str">
        <v>B</v>
      </c>
      <c r="J134" t="str">
        <v>W</v>
      </c>
      <c r="K134" t="str">
        <v>Bligh</v>
      </c>
      <c r="L134" t="str">
        <v>William Bligh</v>
      </c>
      <c r="M134" t="str">
        <f t="array" ref="M134">VLOOKUP(L134,books!B133,1,0)</f>
        <v>William Bligh</v>
      </c>
      <c r="N134">
        <f>COUNTA(books!C133:'books'!ZZ133)</f>
        <v>1</v>
      </c>
      <c r="O134">
        <f t="array" ref="O134">AVERAGE(rating!C133:'rating'!ZZ133)</f>
        <v>7</v>
      </c>
      <c r="P134">
        <f>SUM(COUNTIF(rating!C133:ZZ133, 10))</f>
        <v>0</v>
      </c>
      <c r="R134">
        <f>COUNTA(year!C133:ZZ133)</f>
        <v>1</v>
      </c>
      <c r="S134">
        <f>COUNTA(books!C133:ZZ133)</f>
        <v>1</v>
      </c>
      <c r="T134">
        <f>COUNTA(rating!C133:ZZ133)</f>
        <v>1</v>
      </c>
      <c r="U134">
        <f t="shared" si="2"/>
        <v>0</v>
      </c>
    </row>
    <row r="135" spans="8:21" x14ac:dyDescent="0.35">
      <c r="H135" s="7" t="str">
        <v>E</v>
      </c>
      <c r="J135" t="str">
        <v>E</v>
      </c>
      <c r="K135" t="str">
        <v>Eisenberg</v>
      </c>
      <c r="L135" t="str">
        <v>Eisenberg</v>
      </c>
      <c r="M135" t="str">
        <f t="array" ref="M135">VLOOKUP(L135,books!B134,1,0)</f>
        <v>Eisenberg</v>
      </c>
      <c r="N135">
        <f>COUNTA(books!C134:'books'!ZZ134)</f>
        <v>1</v>
      </c>
      <c r="O135">
        <f t="array" ref="O135">AVERAGE(rating!C134:'rating'!ZZ134)</f>
        <v>8</v>
      </c>
      <c r="P135">
        <f>SUM(COUNTIF(rating!C134:ZZ134, 10))</f>
        <v>0</v>
      </c>
      <c r="R135">
        <f>COUNTA(year!C134:ZZ134)</f>
        <v>1</v>
      </c>
      <c r="S135">
        <f>COUNTA(books!C134:ZZ134)</f>
        <v>1</v>
      </c>
      <c r="T135">
        <f>COUNTA(rating!C134:ZZ134)</f>
        <v>1</v>
      </c>
      <c r="U135">
        <f t="shared" si="2"/>
        <v>0</v>
      </c>
    </row>
    <row r="136" spans="8:21" x14ac:dyDescent="0.35">
      <c r="H136" s="7" t="str">
        <v>H</v>
      </c>
      <c r="J136" t="str">
        <v>E</v>
      </c>
      <c r="K136" t="str">
        <v>Hamilton</v>
      </c>
      <c r="L136" t="str">
        <v>Edith Hamilton</v>
      </c>
      <c r="M136" t="str">
        <f t="array" ref="M136">VLOOKUP(L136,books!B135,1,0)</f>
        <v>Edith Hamilton</v>
      </c>
      <c r="N136">
        <f>COUNTA(books!C135:'books'!ZZ135)</f>
        <v>1</v>
      </c>
      <c r="O136">
        <f t="array" ref="O136">AVERAGE(rating!C135:'rating'!ZZ135)</f>
        <v>8</v>
      </c>
      <c r="P136">
        <f>SUM(COUNTIF(rating!C135:ZZ135, 10))</f>
        <v>0</v>
      </c>
      <c r="R136">
        <f>COUNTA(year!C135:ZZ135)</f>
        <v>1</v>
      </c>
      <c r="S136">
        <f>COUNTA(books!C135:ZZ135)</f>
        <v>1</v>
      </c>
      <c r="T136">
        <f>COUNTA(rating!C135:ZZ135)</f>
        <v>1</v>
      </c>
      <c r="U136">
        <f t="shared" si="2"/>
        <v>0</v>
      </c>
    </row>
    <row r="137" spans="8:21" x14ac:dyDescent="0.35">
      <c r="H137" s="7" t="str">
        <v>C</v>
      </c>
      <c r="J137" t="str">
        <v>T</v>
      </c>
      <c r="K137" t="str">
        <v>Clancy</v>
      </c>
      <c r="L137" t="str">
        <v>Tom Clancy</v>
      </c>
      <c r="M137" t="str">
        <f t="array" ref="M137">VLOOKUP(L137,books!B136,1,0)</f>
        <v>Tom Clancy</v>
      </c>
      <c r="N137">
        <f>COUNTA(books!C136:'books'!ZZ136)</f>
        <v>1</v>
      </c>
      <c r="O137">
        <f t="array" ref="O137">AVERAGE(rating!C136:'rating'!ZZ136)</f>
        <v>9</v>
      </c>
      <c r="P137">
        <f>SUM(COUNTIF(rating!C136:ZZ136, 10))</f>
        <v>0</v>
      </c>
      <c r="R137">
        <f>COUNTA(year!C136:ZZ136)</f>
        <v>1</v>
      </c>
      <c r="S137">
        <f>COUNTA(books!C136:ZZ136)</f>
        <v>1</v>
      </c>
      <c r="T137">
        <f>COUNTA(rating!C136:ZZ136)</f>
        <v>1</v>
      </c>
      <c r="U137">
        <f t="shared" si="2"/>
        <v>0</v>
      </c>
    </row>
    <row r="138" spans="8:21" x14ac:dyDescent="0.35">
      <c r="H138" s="7" t="str">
        <v>W</v>
      </c>
      <c r="J138" t="str">
        <v>M</v>
      </c>
      <c r="K138" t="str">
        <v>Walden</v>
      </c>
      <c r="L138" t="str">
        <v>Mark Walden</v>
      </c>
      <c r="M138" t="str">
        <f t="array" ref="M138">VLOOKUP(L138,books!B137,1,0)</f>
        <v>Mark Walden</v>
      </c>
      <c r="N138">
        <f>COUNTA(books!C137:'books'!ZZ137)</f>
        <v>8</v>
      </c>
      <c r="O138">
        <f t="array" ref="O138">AVERAGE(rating!C137:'rating'!ZZ137)</f>
        <v>9</v>
      </c>
      <c r="P138">
        <f>SUM(COUNTIF(rating!C137:ZZ137, 10))</f>
        <v>0</v>
      </c>
      <c r="R138">
        <f>COUNTA(year!C137:ZZ137)</f>
        <v>8</v>
      </c>
      <c r="S138">
        <f>COUNTA(books!C137:ZZ137)</f>
        <v>8</v>
      </c>
      <c r="T138">
        <f>COUNTA(rating!C137:ZZ137)</f>
        <v>8</v>
      </c>
      <c r="U138">
        <f t="shared" si="2"/>
        <v>0</v>
      </c>
    </row>
    <row r="139" spans="8:21" x14ac:dyDescent="0.35">
      <c r="H139" s="7" t="str">
        <v>W</v>
      </c>
      <c r="J139" t="str">
        <v>E</v>
      </c>
      <c r="K139" t="str">
        <v>Winthrop</v>
      </c>
      <c r="L139" t="str">
        <v>Elizabeth Winthrop</v>
      </c>
      <c r="M139" t="str">
        <f t="array" ref="M139">VLOOKUP(L139,books!B138,1,0)</f>
        <v>Elizabeth Winthrop</v>
      </c>
      <c r="N139">
        <f>COUNTA(books!C138:'books'!ZZ138)</f>
        <v>2</v>
      </c>
      <c r="O139">
        <f t="array" ref="O139">AVERAGE(rating!C138:'rating'!ZZ138)</f>
        <v>8.5</v>
      </c>
      <c r="P139">
        <f>SUM(COUNTIF(rating!C138:ZZ138, 10))</f>
        <v>0</v>
      </c>
      <c r="R139">
        <f>COUNTA(year!C138:ZZ138)</f>
        <v>2</v>
      </c>
      <c r="S139">
        <f>COUNTA(books!C138:ZZ138)</f>
        <v>2</v>
      </c>
      <c r="T139">
        <f>COUNTA(rating!C138:ZZ138)</f>
        <v>2</v>
      </c>
      <c r="U139">
        <f t="shared" si="2"/>
        <v>0</v>
      </c>
    </row>
    <row r="140" spans="8:21" x14ac:dyDescent="0.35">
      <c r="H140" s="7" t="str">
        <v>C</v>
      </c>
      <c r="J140" t="str">
        <v>J</v>
      </c>
      <c r="K140" t="str">
        <v>Conly</v>
      </c>
      <c r="L140" t="str">
        <v>Jane Conly</v>
      </c>
      <c r="M140" t="str">
        <f t="array" ref="M140">VLOOKUP(L140,books!B139,1,0)</f>
        <v>Jane Conly</v>
      </c>
      <c r="N140">
        <f>COUNTA(books!C139:'books'!ZZ139)</f>
        <v>2</v>
      </c>
      <c r="O140">
        <f t="array" ref="O140">AVERAGE(rating!C139:'rating'!ZZ139)</f>
        <v>9</v>
      </c>
      <c r="P140">
        <f>SUM(COUNTIF(rating!C139:ZZ139, 10))</f>
        <v>0</v>
      </c>
      <c r="R140">
        <f>COUNTA(year!C139:ZZ139)</f>
        <v>2</v>
      </c>
      <c r="S140">
        <f>COUNTA(books!C139:ZZ139)</f>
        <v>2</v>
      </c>
      <c r="T140">
        <f>COUNTA(rating!C139:ZZ139)</f>
        <v>2</v>
      </c>
      <c r="U140">
        <f t="shared" si="2"/>
        <v>0</v>
      </c>
    </row>
    <row r="141" spans="8:21" x14ac:dyDescent="0.35">
      <c r="H141" s="7" t="str">
        <v>L</v>
      </c>
      <c r="J141" t="str">
        <v>J</v>
      </c>
      <c r="K141" t="str">
        <v>London</v>
      </c>
      <c r="L141" t="str">
        <v>Jack London</v>
      </c>
      <c r="M141" t="str">
        <f t="array" ref="M141">VLOOKUP(L141,books!B140,1,0)</f>
        <v>Jack London</v>
      </c>
      <c r="N141">
        <f>COUNTA(books!C140:'books'!ZZ140)</f>
        <v>2</v>
      </c>
      <c r="O141">
        <f t="array" ref="O141">AVERAGE(rating!C140:'rating'!ZZ140)</f>
        <v>8</v>
      </c>
      <c r="P141">
        <f>SUM(COUNTIF(rating!C140:ZZ140, 10))</f>
        <v>0</v>
      </c>
      <c r="R141">
        <f>COUNTA(year!C140:ZZ140)</f>
        <v>2</v>
      </c>
      <c r="S141">
        <f>COUNTA(books!C140:ZZ140)</f>
        <v>2</v>
      </c>
      <c r="T141">
        <f>COUNTA(rating!C140:ZZ140)</f>
        <v>2</v>
      </c>
      <c r="U141">
        <f t="shared" si="2"/>
        <v>0</v>
      </c>
    </row>
    <row r="142" spans="8:21" x14ac:dyDescent="0.35">
      <c r="H142" s="7" t="str">
        <v>F</v>
      </c>
      <c r="J142" t="str">
        <v>F</v>
      </c>
      <c r="K142" t="str">
        <v>Fitzgerald</v>
      </c>
      <c r="L142" t="str">
        <v>F. Scott Fitzgerald</v>
      </c>
      <c r="M142" t="str">
        <f t="array" ref="M142">VLOOKUP(L142,books!B141,1,0)</f>
        <v>F. Scott Fitzgerald</v>
      </c>
      <c r="N142">
        <f>COUNTA(books!C141:'books'!ZZ141)</f>
        <v>1</v>
      </c>
      <c r="O142">
        <f t="array" ref="O142">AVERAGE(rating!C141:'rating'!ZZ141)</f>
        <v>8</v>
      </c>
      <c r="P142">
        <f>SUM(COUNTIF(rating!C141:ZZ141, 10))</f>
        <v>0</v>
      </c>
      <c r="R142">
        <f>COUNTA(year!C141:ZZ141)</f>
        <v>1</v>
      </c>
      <c r="S142">
        <f>COUNTA(books!C141:ZZ141)</f>
        <v>1</v>
      </c>
      <c r="T142">
        <f>COUNTA(rating!C141:ZZ141)</f>
        <v>1</v>
      </c>
      <c r="U142">
        <f t="shared" si="2"/>
        <v>0</v>
      </c>
    </row>
    <row r="143" spans="8:21" x14ac:dyDescent="0.35">
      <c r="H143" s="7" t="str">
        <v>A</v>
      </c>
      <c r="J143" t="str">
        <v>L</v>
      </c>
      <c r="K143" t="str">
        <v>Alcott</v>
      </c>
      <c r="L143" t="str">
        <v>Lousia May Alcott</v>
      </c>
      <c r="M143" t="str">
        <f t="array" ref="M143">VLOOKUP(L143,books!B142,1,0)</f>
        <v>Lousia May Alcott</v>
      </c>
      <c r="N143">
        <f>COUNTA(books!C142:'books'!ZZ142)</f>
        <v>3</v>
      </c>
      <c r="O143">
        <f t="array" ref="O143">AVERAGE(rating!C142:'rating'!ZZ142)</f>
        <v>10</v>
      </c>
      <c r="P143">
        <f>SUM(COUNTIF(rating!C142:ZZ142, 10))</f>
        <v>3</v>
      </c>
      <c r="R143">
        <f>COUNTA(year!C142:ZZ142)</f>
        <v>3</v>
      </c>
      <c r="S143">
        <f>COUNTA(books!C142:ZZ142)</f>
        <v>3</v>
      </c>
      <c r="T143">
        <f>COUNTA(rating!C142:ZZ142)</f>
        <v>3</v>
      </c>
      <c r="U143">
        <f t="shared" si="2"/>
        <v>0</v>
      </c>
    </row>
    <row r="144" spans="8:21" x14ac:dyDescent="0.35">
      <c r="H144" s="7" t="str">
        <v>M</v>
      </c>
      <c r="J144" t="str">
        <v>M</v>
      </c>
      <c r="K144" t="str">
        <v>Mitchell</v>
      </c>
      <c r="L144" t="str">
        <v>Margaret Mitchell</v>
      </c>
      <c r="M144" t="str">
        <f t="array" ref="M144">VLOOKUP(L144,books!B143,1,0)</f>
        <v>Margaret Mitchell</v>
      </c>
      <c r="N144">
        <f>COUNTA(books!C143:'books'!ZZ143)</f>
        <v>1</v>
      </c>
      <c r="O144">
        <f t="array" ref="O144">AVERAGE(rating!C143:'rating'!ZZ143)</f>
        <v>9</v>
      </c>
      <c r="P144">
        <f>SUM(COUNTIF(rating!C143:ZZ143, 10))</f>
        <v>0</v>
      </c>
      <c r="R144">
        <f>COUNTA(year!C143:ZZ143)</f>
        <v>1</v>
      </c>
      <c r="S144">
        <f>COUNTA(books!C143:ZZ143)</f>
        <v>1</v>
      </c>
      <c r="T144">
        <f>COUNTA(rating!C143:ZZ143)</f>
        <v>1</v>
      </c>
      <c r="U144">
        <f t="shared" si="2"/>
        <v>0</v>
      </c>
    </row>
    <row r="145" spans="8:21" x14ac:dyDescent="0.35">
      <c r="H145" s="7" t="str">
        <v>T</v>
      </c>
      <c r="J145" t="str">
        <v>M</v>
      </c>
      <c r="K145" t="str">
        <v>Taylor</v>
      </c>
      <c r="L145" t="str">
        <v>Mildred Taylor</v>
      </c>
      <c r="M145" t="str">
        <f t="array" ref="M145">VLOOKUP(L145,books!B144,1,0)</f>
        <v>Mildred Taylor</v>
      </c>
      <c r="N145">
        <f>COUNTA(books!C144:'books'!ZZ144)</f>
        <v>5</v>
      </c>
      <c r="O145">
        <f t="array" ref="O145">AVERAGE(rating!C144:'rating'!ZZ144)</f>
        <v>10</v>
      </c>
      <c r="P145">
        <f>SUM(COUNTIF(rating!C144:ZZ144, 10))</f>
        <v>5</v>
      </c>
      <c r="R145">
        <f>COUNTA(year!C144:ZZ144)</f>
        <v>5</v>
      </c>
      <c r="S145">
        <f>COUNTA(books!C144:ZZ144)</f>
        <v>5</v>
      </c>
      <c r="T145">
        <f>COUNTA(rating!C144:ZZ144)</f>
        <v>5</v>
      </c>
      <c r="U145">
        <f t="shared" si="2"/>
        <v>0</v>
      </c>
    </row>
    <row r="146" spans="8:21" x14ac:dyDescent="0.35">
      <c r="H146" s="7" t="str">
        <v>C</v>
      </c>
      <c r="J146" t="str">
        <v>S</v>
      </c>
      <c r="K146" t="str">
        <v>Cisneros</v>
      </c>
      <c r="L146" t="str">
        <v>Sandra Cisneros</v>
      </c>
      <c r="M146" t="str">
        <f t="array" ref="M146">VLOOKUP(L146,books!B145,1,0)</f>
        <v>Sandra Cisneros</v>
      </c>
      <c r="N146">
        <f>COUNTA(books!C145:'books'!ZZ145)</f>
        <v>1</v>
      </c>
      <c r="O146">
        <f t="array" ref="O146">AVERAGE(rating!C145:'rating'!ZZ145)</f>
        <v>9</v>
      </c>
      <c r="P146">
        <f>SUM(COUNTIF(rating!C145:ZZ145, 10))</f>
        <v>0</v>
      </c>
      <c r="R146">
        <f>COUNTA(year!C145:ZZ145)</f>
        <v>1</v>
      </c>
      <c r="S146">
        <f>COUNTA(books!C145:ZZ145)</f>
        <v>1</v>
      </c>
      <c r="T146">
        <f>COUNTA(rating!C145:ZZ145)</f>
        <v>1</v>
      </c>
      <c r="U146">
        <f t="shared" si="2"/>
        <v>0</v>
      </c>
    </row>
    <row r="147" spans="8:21" x14ac:dyDescent="0.35">
      <c r="H147" s="7" t="str">
        <v>C</v>
      </c>
      <c r="J147" t="str">
        <v>J</v>
      </c>
      <c r="K147" t="str">
        <v>Cooper</v>
      </c>
      <c r="L147" t="str">
        <v>James Cooper</v>
      </c>
      <c r="M147" t="str">
        <f t="array" ref="M147">VLOOKUP(L147,books!B146,1,0)</f>
        <v>James Cooper</v>
      </c>
      <c r="N147">
        <f>COUNTA(books!C146:'books'!ZZ146)</f>
        <v>1</v>
      </c>
      <c r="O147">
        <f t="array" ref="O147">AVERAGE(rating!C146:'rating'!ZZ146)</f>
        <v>7</v>
      </c>
      <c r="P147">
        <f>SUM(COUNTIF(rating!C146:ZZ146, 10))</f>
        <v>0</v>
      </c>
      <c r="R147">
        <f>COUNTA(year!C146:ZZ146)</f>
        <v>1</v>
      </c>
      <c r="S147">
        <f>COUNTA(books!C146:ZZ146)</f>
        <v>1</v>
      </c>
      <c r="T147">
        <f>COUNTA(rating!C146:ZZ146)</f>
        <v>1</v>
      </c>
      <c r="U147">
        <f t="shared" si="2"/>
        <v>0</v>
      </c>
    </row>
    <row r="148" spans="8:21" x14ac:dyDescent="0.35">
      <c r="H148" s="7" t="str">
        <v>H</v>
      </c>
      <c r="J148" t="str">
        <v>K</v>
      </c>
      <c r="K148" t="str">
        <v>Hesse</v>
      </c>
      <c r="L148" t="str">
        <v>Karen Hesse</v>
      </c>
      <c r="M148" t="str">
        <f t="array" ref="M148">VLOOKUP(L148,books!B147,1,0)</f>
        <v>Karen Hesse</v>
      </c>
      <c r="N148">
        <f>COUNTA(books!C147:'books'!ZZ147)</f>
        <v>1</v>
      </c>
      <c r="O148">
        <f t="array" ref="O148">AVERAGE(rating!C147:'rating'!ZZ147)</f>
        <v>5</v>
      </c>
      <c r="P148">
        <f>SUM(COUNTIF(rating!C147:ZZ147, 10))</f>
        <v>0</v>
      </c>
      <c r="R148">
        <f>COUNTA(year!C147:ZZ147)</f>
        <v>1</v>
      </c>
      <c r="S148">
        <f>COUNTA(books!C147:ZZ147)</f>
        <v>1</v>
      </c>
      <c r="T148">
        <f>COUNTA(rating!C147:ZZ147)</f>
        <v>1</v>
      </c>
      <c r="U148">
        <f t="shared" si="2"/>
        <v>0</v>
      </c>
    </row>
    <row r="149" spans="8:21" x14ac:dyDescent="0.35">
      <c r="H149" s="7" t="str">
        <v>L</v>
      </c>
      <c r="J149" t="str">
        <v>H</v>
      </c>
      <c r="K149" t="str">
        <v>Lofting</v>
      </c>
      <c r="L149" t="str">
        <v>Hugh Lofting</v>
      </c>
      <c r="M149" t="str">
        <f t="array" ref="M149">VLOOKUP(L149,books!B148,1,0)</f>
        <v>Hugh Lofting</v>
      </c>
      <c r="N149">
        <f>COUNTA(books!C148:'books'!ZZ148)</f>
        <v>3</v>
      </c>
      <c r="O149">
        <f t="array" ref="O149">AVERAGE(rating!C148:'rating'!ZZ148)</f>
        <v>9.3333333333333339</v>
      </c>
      <c r="P149">
        <f>SUM(COUNTIF(rating!C148:ZZ148, 10))</f>
        <v>1</v>
      </c>
      <c r="R149">
        <f>COUNTA(year!C148:ZZ148)</f>
        <v>3</v>
      </c>
      <c r="S149">
        <f>COUNTA(books!C148:ZZ148)</f>
        <v>3</v>
      </c>
      <c r="T149">
        <f>COUNTA(rating!C148:ZZ148)</f>
        <v>3</v>
      </c>
      <c r="U149">
        <f t="shared" si="2"/>
        <v>0</v>
      </c>
    </row>
    <row r="150" spans="8:21" x14ac:dyDescent="0.35">
      <c r="H150" s="7" t="str">
        <v>S</v>
      </c>
      <c r="J150" t="str">
        <v>N</v>
      </c>
      <c r="K150" t="str">
        <v>Scientist</v>
      </c>
      <c r="L150" t="str">
        <v>New Scientist</v>
      </c>
      <c r="M150" t="str">
        <f t="array" ref="M150">VLOOKUP(L150,books!B149,1,0)</f>
        <v>New Scientist</v>
      </c>
      <c r="N150">
        <f>COUNTA(books!C149:'books'!ZZ149)</f>
        <v>2</v>
      </c>
      <c r="O150">
        <f t="array" ref="O150">AVERAGE(rating!C149:'rating'!ZZ149)</f>
        <v>8</v>
      </c>
      <c r="P150">
        <f>SUM(COUNTIF(rating!C149:ZZ149, 10))</f>
        <v>0</v>
      </c>
      <c r="R150">
        <f>COUNTA(year!C149:ZZ149)</f>
        <v>2</v>
      </c>
      <c r="S150">
        <f>COUNTA(books!C149:ZZ149)</f>
        <v>2</v>
      </c>
      <c r="T150">
        <f>COUNTA(rating!C149:ZZ149)</f>
        <v>2</v>
      </c>
      <c r="U150">
        <f t="shared" si="2"/>
        <v>0</v>
      </c>
    </row>
    <row r="151" spans="8:21" x14ac:dyDescent="0.35">
      <c r="H151" s="7" t="str">
        <v>C</v>
      </c>
      <c r="J151" t="str">
        <v>P</v>
      </c>
      <c r="K151" t="str">
        <v>Colum</v>
      </c>
      <c r="L151" t="str">
        <v>Padraic Colum</v>
      </c>
      <c r="M151" t="str">
        <f t="array" ref="M151">VLOOKUP(L151,books!B150,1,0)</f>
        <v>Padraic Colum</v>
      </c>
      <c r="N151">
        <f>COUNTA(books!C150:'books'!ZZ150)</f>
        <v>1</v>
      </c>
      <c r="O151">
        <f t="array" ref="O151">AVERAGE(rating!C150:'rating'!ZZ150)</f>
        <v>7</v>
      </c>
      <c r="P151">
        <f>SUM(COUNTIF(rating!C150:ZZ150, 10))</f>
        <v>0</v>
      </c>
      <c r="R151">
        <f>COUNTA(year!C150:ZZ150)</f>
        <v>1</v>
      </c>
      <c r="S151">
        <f>COUNTA(books!C150:ZZ150)</f>
        <v>1</v>
      </c>
      <c r="T151">
        <f>COUNTA(rating!C150:ZZ150)</f>
        <v>1</v>
      </c>
      <c r="U151">
        <f t="shared" si="2"/>
        <v>0</v>
      </c>
    </row>
    <row r="152" spans="8:21" x14ac:dyDescent="0.35">
      <c r="H152" s="7" t="str">
        <v>H</v>
      </c>
      <c r="J152" t="str">
        <v>D</v>
      </c>
      <c r="K152" t="str">
        <v>Haas</v>
      </c>
      <c r="L152" t="str">
        <v>Dorothy Haas</v>
      </c>
      <c r="M152" t="str">
        <f t="array" ref="M152">VLOOKUP(L152,books!B151,1,0)</f>
        <v>Dorothy Haas</v>
      </c>
      <c r="N152">
        <f>COUNTA(books!C151:'books'!ZZ151)</f>
        <v>1</v>
      </c>
      <c r="O152">
        <f t="array" ref="O152">AVERAGE(rating!C151:'rating'!ZZ151)</f>
        <v>9</v>
      </c>
      <c r="P152">
        <f>SUM(COUNTIF(rating!C151:ZZ151, 10))</f>
        <v>0</v>
      </c>
      <c r="R152">
        <f>COUNTA(year!C151:ZZ151)</f>
        <v>1</v>
      </c>
      <c r="S152">
        <f>COUNTA(books!C151:ZZ151)</f>
        <v>1</v>
      </c>
      <c r="T152">
        <f>COUNTA(rating!C151:ZZ151)</f>
        <v>1</v>
      </c>
      <c r="U152">
        <f t="shared" si="2"/>
        <v>0</v>
      </c>
    </row>
    <row r="153" spans="8:21" x14ac:dyDescent="0.35">
      <c r="H153" s="7" t="str">
        <v>H</v>
      </c>
      <c r="J153" t="str">
        <v>T</v>
      </c>
      <c r="K153" t="str">
        <v>Hillerman</v>
      </c>
      <c r="L153" t="str">
        <v>Tony Hillerman</v>
      </c>
      <c r="M153" t="str">
        <f t="array" ref="M153">VLOOKUP(L153,books!B152,1,0)</f>
        <v>Tony Hillerman</v>
      </c>
      <c r="N153">
        <f>COUNTA(books!C152:'books'!ZZ152)</f>
        <v>1</v>
      </c>
      <c r="O153">
        <f t="array" ref="O153">AVERAGE(rating!C152:'rating'!ZZ152)</f>
        <v>10</v>
      </c>
      <c r="P153">
        <f>SUM(COUNTIF(rating!C152:ZZ152, 10))</f>
        <v>1</v>
      </c>
      <c r="R153">
        <f>COUNTA(year!C152:ZZ152)</f>
        <v>1</v>
      </c>
      <c r="S153">
        <f>COUNTA(books!C152:ZZ152)</f>
        <v>1</v>
      </c>
      <c r="T153">
        <f>COUNTA(rating!C152:ZZ152)</f>
        <v>1</v>
      </c>
      <c r="U153">
        <f t="shared" si="2"/>
        <v>0</v>
      </c>
    </row>
    <row r="154" spans="8:21" x14ac:dyDescent="0.35">
      <c r="H154" s="7" t="str">
        <v>K</v>
      </c>
      <c r="J154" t="str">
        <v>D</v>
      </c>
      <c r="K154" t="str">
        <v>King-Smith</v>
      </c>
      <c r="L154" t="str">
        <v>Dick King-Smith</v>
      </c>
      <c r="M154" t="str">
        <f t="array" ref="M154">VLOOKUP(L154,books!B153,1,0)</f>
        <v>Dick King-Smith</v>
      </c>
      <c r="N154">
        <f>COUNTA(books!C153:'books'!ZZ153)</f>
        <v>8</v>
      </c>
      <c r="O154">
        <f t="array" ref="O154">AVERAGE(rating!C153:'rating'!ZZ153)</f>
        <v>9.375</v>
      </c>
      <c r="P154">
        <f>SUM(COUNTIF(rating!C153:ZZ153, 10))</f>
        <v>3</v>
      </c>
      <c r="R154">
        <f>COUNTA(year!C153:ZZ153)</f>
        <v>8</v>
      </c>
      <c r="S154">
        <f>COUNTA(books!C153:ZZ153)</f>
        <v>8</v>
      </c>
      <c r="T154">
        <f>COUNTA(rating!C153:ZZ153)</f>
        <v>8</v>
      </c>
      <c r="U154">
        <f t="shared" si="2"/>
        <v>0</v>
      </c>
    </row>
    <row r="155" spans="8:21" x14ac:dyDescent="0.35">
      <c r="H155" s="7" t="str">
        <v>B</v>
      </c>
      <c r="J155" t="str">
        <v>B</v>
      </c>
      <c r="K155" t="str">
        <v>Brinley</v>
      </c>
      <c r="L155" t="str">
        <v>Bertrand Brinley</v>
      </c>
      <c r="M155" t="str">
        <f t="array" ref="M155">VLOOKUP(L155,books!B154,1,0)</f>
        <v>Bertrand Brinley</v>
      </c>
      <c r="N155">
        <f>COUNTA(books!C154:'books'!ZZ154)</f>
        <v>1</v>
      </c>
      <c r="O155">
        <f t="array" ref="O155">AVERAGE(rating!C154:'rating'!ZZ154)</f>
        <v>10</v>
      </c>
      <c r="P155">
        <f>SUM(COUNTIF(rating!C154:ZZ154, 10))</f>
        <v>1</v>
      </c>
      <c r="R155">
        <f>COUNTA(year!C154:ZZ154)</f>
        <v>1</v>
      </c>
      <c r="S155">
        <f>COUNTA(books!C154:ZZ154)</f>
        <v>1</v>
      </c>
      <c r="T155">
        <f>COUNTA(rating!C154:ZZ154)</f>
        <v>1</v>
      </c>
      <c r="U155">
        <f t="shared" si="2"/>
        <v>0</v>
      </c>
    </row>
    <row r="156" spans="8:21" x14ac:dyDescent="0.35">
      <c r="H156" s="7" t="str">
        <v>D</v>
      </c>
      <c r="J156" t="str">
        <v>M</v>
      </c>
      <c r="K156" t="str">
        <v>Dodge</v>
      </c>
      <c r="L156" t="str">
        <v>Mary Dodge</v>
      </c>
      <c r="M156" t="str">
        <f t="array" ref="M156">VLOOKUP(L156,books!B155,1,0)</f>
        <v>Mary Dodge</v>
      </c>
      <c r="N156">
        <f>COUNTA(books!C155:'books'!ZZ155)</f>
        <v>1</v>
      </c>
      <c r="O156">
        <f t="array" ref="O156">AVERAGE(rating!C155:'rating'!ZZ155)</f>
        <v>8</v>
      </c>
      <c r="P156">
        <f>SUM(COUNTIF(rating!C155:ZZ155, 10))</f>
        <v>0</v>
      </c>
      <c r="R156">
        <f>COUNTA(year!C155:ZZ155)</f>
        <v>1</v>
      </c>
      <c r="S156">
        <f>COUNTA(books!C155:ZZ155)</f>
        <v>1</v>
      </c>
      <c r="T156">
        <f>COUNTA(rating!C155:ZZ155)</f>
        <v>1</v>
      </c>
      <c r="U156">
        <f t="shared" si="2"/>
        <v>0</v>
      </c>
    </row>
    <row r="157" spans="8:21" x14ac:dyDescent="0.35">
      <c r="H157" s="7" t="str">
        <v>C</v>
      </c>
      <c r="J157" t="str">
        <v>E</v>
      </c>
      <c r="K157" t="str">
        <v>Curie</v>
      </c>
      <c r="L157" t="str">
        <v>Eve Curie</v>
      </c>
      <c r="M157" t="str">
        <f t="array" ref="M157">VLOOKUP(L157,books!B156,1,0)</f>
        <v>Eve Curie</v>
      </c>
      <c r="N157">
        <f>COUNTA(books!C156:'books'!ZZ156)</f>
        <v>1</v>
      </c>
      <c r="O157">
        <f t="array" ref="O157">AVERAGE(rating!C156:'rating'!ZZ156)</f>
        <v>9</v>
      </c>
      <c r="P157">
        <f>SUM(COUNTIF(rating!C156:ZZ156, 10))</f>
        <v>0</v>
      </c>
      <c r="R157">
        <f>COUNTA(year!C156:ZZ156)</f>
        <v>1</v>
      </c>
      <c r="S157">
        <f>COUNTA(books!C156:ZZ156)</f>
        <v>1</v>
      </c>
      <c r="T157">
        <f>COUNTA(rating!C156:ZZ156)</f>
        <v>1</v>
      </c>
      <c r="U157">
        <f t="shared" si="2"/>
        <v>0</v>
      </c>
    </row>
    <row r="158" spans="8:21" x14ac:dyDescent="0.35">
      <c r="H158" s="7" t="str">
        <v>F</v>
      </c>
      <c r="J158" t="str">
        <v>C</v>
      </c>
      <c r="K158" t="str">
        <v>Forester</v>
      </c>
      <c r="L158" t="str">
        <v>C.S. Forester</v>
      </c>
      <c r="M158" t="str">
        <f t="array" ref="M158">VLOOKUP(L158,books!B157,1,0)</f>
        <v>C.S. Forester</v>
      </c>
      <c r="N158">
        <f>COUNTA(books!C157:'books'!ZZ157)</f>
        <v>1</v>
      </c>
      <c r="O158">
        <f t="array" ref="O158">AVERAGE(rating!C157:'rating'!ZZ157)</f>
        <v>6</v>
      </c>
      <c r="P158">
        <f>SUM(COUNTIF(rating!C157:ZZ157, 10))</f>
        <v>0</v>
      </c>
      <c r="R158">
        <f>COUNTA(year!C157:ZZ157)</f>
        <v>1</v>
      </c>
      <c r="S158">
        <f>COUNTA(books!C157:ZZ157)</f>
        <v>1</v>
      </c>
      <c r="T158">
        <f>COUNTA(rating!C157:ZZ157)</f>
        <v>1</v>
      </c>
      <c r="U158">
        <f t="shared" si="2"/>
        <v>0</v>
      </c>
    </row>
    <row r="159" spans="8:21" x14ac:dyDescent="0.35">
      <c r="H159" s="7" t="str">
        <v>D</v>
      </c>
      <c r="J159" t="str">
        <v>D</v>
      </c>
      <c r="K159" t="str">
        <v>Defoe</v>
      </c>
      <c r="L159" t="str">
        <v>Daniel Defoe</v>
      </c>
      <c r="M159" t="str">
        <f t="array" ref="M159">VLOOKUP(L159,books!B158,1,0)</f>
        <v>Daniel Defoe</v>
      </c>
      <c r="N159">
        <f>COUNTA(books!C158:'books'!ZZ158)</f>
        <v>1</v>
      </c>
      <c r="O159">
        <f t="array" ref="O159">AVERAGE(rating!C158:'rating'!ZZ158)</f>
        <v>8</v>
      </c>
      <c r="P159">
        <f>SUM(COUNTIF(rating!C158:ZZ158, 10))</f>
        <v>0</v>
      </c>
      <c r="R159">
        <f>COUNTA(year!C158:ZZ158)</f>
        <v>1</v>
      </c>
      <c r="S159">
        <f>COUNTA(books!C158:ZZ158)</f>
        <v>1</v>
      </c>
      <c r="T159">
        <f>COUNTA(rating!C158:ZZ158)</f>
        <v>1</v>
      </c>
      <c r="U159">
        <f t="shared" si="2"/>
        <v>0</v>
      </c>
    </row>
    <row r="160" spans="8:21" x14ac:dyDescent="0.35">
      <c r="H160" s="7" t="str">
        <v>K</v>
      </c>
      <c r="J160" t="str">
        <v>R</v>
      </c>
      <c r="K160" t="str">
        <v>Kipling</v>
      </c>
      <c r="L160" t="str">
        <v>Rudyard Kipling</v>
      </c>
      <c r="M160" t="str">
        <f t="array" ref="M160">VLOOKUP(L160,books!B159,1,0)</f>
        <v>Rudyard Kipling</v>
      </c>
      <c r="N160">
        <f>COUNTA(books!C159:'books'!ZZ159)</f>
        <v>2</v>
      </c>
      <c r="O160">
        <f t="array" ref="O160">AVERAGE(rating!C159:'rating'!ZZ159)</f>
        <v>9</v>
      </c>
      <c r="P160">
        <f>SUM(COUNTIF(rating!C159:ZZ159, 10))</f>
        <v>0</v>
      </c>
      <c r="R160">
        <f>COUNTA(year!C159:ZZ159)</f>
        <v>2</v>
      </c>
      <c r="S160">
        <f>COUNTA(books!C159:ZZ159)</f>
        <v>2</v>
      </c>
      <c r="T160">
        <f>COUNTA(rating!C159:ZZ159)</f>
        <v>2</v>
      </c>
      <c r="U160">
        <f t="shared" si="2"/>
        <v>0</v>
      </c>
    </row>
    <row r="161" spans="8:21" x14ac:dyDescent="0.35">
      <c r="H161" s="7" t="str">
        <v>K</v>
      </c>
      <c r="J161" t="str">
        <v>H</v>
      </c>
      <c r="K161" t="str">
        <v>Keller</v>
      </c>
      <c r="L161" t="str">
        <v>Helen Keller</v>
      </c>
      <c r="M161" t="str">
        <f t="array" ref="M161">VLOOKUP(L161,books!B160,1,0)</f>
        <v>Helen Keller</v>
      </c>
      <c r="N161">
        <f>COUNTA(books!C160:'books'!ZZ160)</f>
        <v>1</v>
      </c>
      <c r="O161">
        <f t="array" ref="O161">AVERAGE(rating!C160:'rating'!ZZ160)</f>
        <v>9</v>
      </c>
      <c r="P161">
        <f>SUM(COUNTIF(rating!C160:ZZ160, 10))</f>
        <v>0</v>
      </c>
      <c r="R161">
        <f>COUNTA(year!C160:ZZ160)</f>
        <v>1</v>
      </c>
      <c r="S161">
        <f>COUNTA(books!C160:ZZ160)</f>
        <v>1</v>
      </c>
      <c r="T161">
        <f>COUNTA(rating!C160:ZZ160)</f>
        <v>1</v>
      </c>
      <c r="U161">
        <f t="shared" si="2"/>
        <v>0</v>
      </c>
    </row>
    <row r="162" spans="8:21" x14ac:dyDescent="0.35">
      <c r="H162" s="7" t="str">
        <v>T</v>
      </c>
      <c r="J162" t="str">
        <v>K</v>
      </c>
      <c r="K162" t="str">
        <v>Thompson</v>
      </c>
      <c r="L162" t="str">
        <v>Kate Thompson</v>
      </c>
      <c r="M162" t="str">
        <f t="array" ref="M162">VLOOKUP(L162,books!B161,1,0)</f>
        <v>Kate Thompson</v>
      </c>
      <c r="N162">
        <f>COUNTA(books!C161:'books'!ZZ161)</f>
        <v>1</v>
      </c>
      <c r="O162">
        <f t="array" ref="O162">AVERAGE(rating!C161:'rating'!ZZ161)</f>
        <v>9</v>
      </c>
      <c r="P162">
        <f>SUM(COUNTIF(rating!C161:ZZ161, 10))</f>
        <v>0</v>
      </c>
      <c r="R162">
        <f>COUNTA(year!C161:ZZ161)</f>
        <v>1</v>
      </c>
      <c r="S162">
        <f>COUNTA(books!C161:ZZ161)</f>
        <v>1</v>
      </c>
      <c r="T162">
        <f>COUNTA(rating!C161:ZZ161)</f>
        <v>1</v>
      </c>
      <c r="U162">
        <f t="shared" si="2"/>
        <v>0</v>
      </c>
    </row>
    <row r="163" spans="8:21" x14ac:dyDescent="0.35">
      <c r="H163" s="7" t="str">
        <v>M</v>
      </c>
      <c r="J163" t="str">
        <v>M</v>
      </c>
      <c r="K163" t="str">
        <v>Meltzer</v>
      </c>
      <c r="L163" t="str">
        <v>Milton Meltzer</v>
      </c>
      <c r="M163" t="str">
        <f t="array" ref="M163">VLOOKUP(L163,books!B162,1,0)</f>
        <v>Milton Meltzer</v>
      </c>
      <c r="N163">
        <f>COUNTA(books!C162:'books'!ZZ162)</f>
        <v>1</v>
      </c>
      <c r="O163">
        <f t="array" ref="O163">AVERAGE(rating!C162:'rating'!ZZ162)</f>
        <v>7</v>
      </c>
      <c r="P163">
        <f>SUM(COUNTIF(rating!C162:ZZ162, 10))</f>
        <v>0</v>
      </c>
      <c r="R163">
        <f>COUNTA(year!C162:ZZ162)</f>
        <v>1</v>
      </c>
      <c r="S163">
        <f>COUNTA(books!C162:ZZ162)</f>
        <v>1</v>
      </c>
      <c r="T163">
        <f>COUNTA(rating!C162:ZZ162)</f>
        <v>1</v>
      </c>
      <c r="U163">
        <f t="shared" si="2"/>
        <v>0</v>
      </c>
    </row>
    <row r="164" spans="8:21" x14ac:dyDescent="0.35">
      <c r="H164" s="7" t="str">
        <v>A</v>
      </c>
      <c r="J164" t="str">
        <v>D</v>
      </c>
      <c r="K164" t="str">
        <v>Adams</v>
      </c>
      <c r="L164" t="str">
        <v>Douglas Adams</v>
      </c>
      <c r="M164" t="str">
        <f t="array" ref="M164">VLOOKUP(L164,books!B163,1,0)</f>
        <v>Douglas Adams</v>
      </c>
      <c r="N164">
        <f>COUNTA(books!C163:'books'!ZZ163)</f>
        <v>4</v>
      </c>
      <c r="O164">
        <f t="array" ref="O164">AVERAGE(rating!C163:'rating'!ZZ163)</f>
        <v>9.75</v>
      </c>
      <c r="P164">
        <f>SUM(COUNTIF(rating!C163:ZZ163, 10))</f>
        <v>3</v>
      </c>
      <c r="R164">
        <f>COUNTA(year!C163:ZZ163)</f>
        <v>4</v>
      </c>
      <c r="S164">
        <f>COUNTA(books!C163:ZZ163)</f>
        <v>4</v>
      </c>
      <c r="T164">
        <f>COUNTA(rating!C163:ZZ163)</f>
        <v>4</v>
      </c>
      <c r="U164">
        <f t="shared" si="2"/>
        <v>0</v>
      </c>
    </row>
    <row r="165" spans="8:21" x14ac:dyDescent="0.35">
      <c r="H165" s="7" t="str">
        <v>S</v>
      </c>
      <c r="J165" t="str">
        <v>J</v>
      </c>
      <c r="K165" t="str">
        <v>Swift</v>
      </c>
      <c r="L165" t="str">
        <v>Jonathon Swift</v>
      </c>
      <c r="M165" t="str">
        <f t="array" ref="M165">VLOOKUP(L165,books!B164,1,0)</f>
        <v>Jonathon Swift</v>
      </c>
      <c r="N165">
        <f>COUNTA(books!C164:'books'!ZZ164)</f>
        <v>1</v>
      </c>
      <c r="O165">
        <f t="array" ref="O165">AVERAGE(rating!C164:'rating'!ZZ164)</f>
        <v>9</v>
      </c>
      <c r="P165">
        <f>SUM(COUNTIF(rating!C164:ZZ164, 10))</f>
        <v>0</v>
      </c>
      <c r="R165">
        <f>COUNTA(year!C164:ZZ164)</f>
        <v>1</v>
      </c>
      <c r="S165">
        <f>COUNTA(books!C164:ZZ164)</f>
        <v>1</v>
      </c>
      <c r="T165">
        <f>COUNTA(rating!C164:ZZ164)</f>
        <v>1</v>
      </c>
      <c r="U165">
        <f t="shared" si="2"/>
        <v>0</v>
      </c>
    </row>
    <row r="166" spans="8:21" x14ac:dyDescent="0.35">
      <c r="H166" s="7" t="str">
        <v>S</v>
      </c>
      <c r="J166" t="str">
        <v>J</v>
      </c>
      <c r="K166" t="str">
        <v>Spinelli</v>
      </c>
      <c r="L166" t="str">
        <v>Jerry Spinelli</v>
      </c>
      <c r="M166" t="str">
        <f t="array" ref="M166">VLOOKUP(L166,books!B165,1,0)</f>
        <v>Jerry Spinelli</v>
      </c>
      <c r="N166">
        <f>COUNTA(books!C165:'books'!ZZ165)</f>
        <v>2</v>
      </c>
      <c r="O166">
        <f t="array" ref="O166">AVERAGE(rating!C165:'rating'!ZZ165)</f>
        <v>8.5</v>
      </c>
      <c r="P166">
        <f>SUM(COUNTIF(rating!C165:ZZ165, 10))</f>
        <v>0</v>
      </c>
      <c r="R166">
        <f>COUNTA(year!C165:ZZ165)</f>
        <v>2</v>
      </c>
      <c r="S166">
        <f>COUNTA(books!C165:ZZ165)</f>
        <v>2</v>
      </c>
      <c r="T166">
        <f>COUNTA(rating!C165:ZZ165)</f>
        <v>2</v>
      </c>
      <c r="U166">
        <f t="shared" si="2"/>
        <v>0</v>
      </c>
    </row>
    <row r="167" spans="8:21" x14ac:dyDescent="0.35">
      <c r="H167" s="7" t="str">
        <v>O</v>
      </c>
      <c r="J167" t="str">
        <v>S</v>
      </c>
      <c r="K167" t="str">
        <v>O'Dell</v>
      </c>
      <c r="L167" t="str">
        <v>Scott O'Dell</v>
      </c>
      <c r="M167" t="str">
        <f t="array" ref="M167">VLOOKUP(L167,books!B166,1,0)</f>
        <v>Scott O'Dell</v>
      </c>
      <c r="N167">
        <f>COUNTA(books!C166:'books'!ZZ166)</f>
        <v>1</v>
      </c>
      <c r="O167">
        <f t="array" ref="O167">AVERAGE(rating!C166:'rating'!ZZ166)</f>
        <v>8</v>
      </c>
      <c r="P167">
        <f>SUM(COUNTIF(rating!C166:ZZ166, 10))</f>
        <v>0</v>
      </c>
      <c r="R167">
        <f>COUNTA(year!C166:ZZ166)</f>
        <v>1</v>
      </c>
      <c r="S167">
        <f>COUNTA(books!C166:ZZ166)</f>
        <v>1</v>
      </c>
      <c r="T167">
        <f>COUNTA(rating!C166:ZZ166)</f>
        <v>1</v>
      </c>
      <c r="U167">
        <f t="shared" si="2"/>
        <v>0</v>
      </c>
    </row>
    <row r="168" spans="8:21" x14ac:dyDescent="0.35">
      <c r="H168" s="7" t="str">
        <v>S</v>
      </c>
      <c r="J168" t="str">
        <v>L</v>
      </c>
      <c r="K168" t="str">
        <v>Sachar</v>
      </c>
      <c r="L168" t="str">
        <v>Louis Sachar</v>
      </c>
      <c r="M168" t="str">
        <f t="array" ref="M168">VLOOKUP(L168,books!B167,1,0)</f>
        <v>Louis Sachar</v>
      </c>
      <c r="N168">
        <f>COUNTA(books!C167:'books'!ZZ167)</f>
        <v>2</v>
      </c>
      <c r="O168">
        <f t="array" ref="O168">AVERAGE(rating!C167:'rating'!ZZ167)</f>
        <v>9</v>
      </c>
      <c r="P168">
        <f>SUM(COUNTIF(rating!C167:ZZ167, 10))</f>
        <v>0</v>
      </c>
      <c r="R168">
        <f>COUNTA(year!C167:ZZ167)</f>
        <v>2</v>
      </c>
      <c r="S168">
        <f>COUNTA(books!C167:ZZ167)</f>
        <v>2</v>
      </c>
      <c r="T168">
        <f>COUNTA(rating!C167:ZZ167)</f>
        <v>2</v>
      </c>
      <c r="U168">
        <f t="shared" si="2"/>
        <v>0</v>
      </c>
    </row>
    <row r="169" spans="8:21" x14ac:dyDescent="0.35">
      <c r="H169" s="7" t="str">
        <v>M</v>
      </c>
      <c r="J169" t="str">
        <v>P</v>
      </c>
      <c r="K169" t="str">
        <v>Maclachlan</v>
      </c>
      <c r="L169" t="str">
        <v>Patricia Maclachlan</v>
      </c>
      <c r="M169" t="str">
        <f t="array" ref="M169">VLOOKUP(L169,books!B168,1,0)</f>
        <v>Patricia Maclachlan</v>
      </c>
      <c r="N169">
        <f>COUNTA(books!C168:'books'!ZZ168)</f>
        <v>1</v>
      </c>
      <c r="O169">
        <f t="array" ref="O169">AVERAGE(rating!C168:'rating'!ZZ168)</f>
        <v>7</v>
      </c>
      <c r="P169">
        <f>SUM(COUNTIF(rating!C168:ZZ168, 10))</f>
        <v>0</v>
      </c>
      <c r="R169">
        <f>COUNTA(year!C168:ZZ168)</f>
        <v>1</v>
      </c>
      <c r="S169">
        <f>COUNTA(books!C168:ZZ168)</f>
        <v>1</v>
      </c>
      <c r="T169">
        <f>COUNTA(rating!C168:ZZ168)</f>
        <v>1</v>
      </c>
      <c r="U169">
        <f t="shared" si="2"/>
        <v>0</v>
      </c>
    </row>
    <row r="170" spans="8:21" x14ac:dyDescent="0.35">
      <c r="H170" s="7" t="str">
        <v>G</v>
      </c>
      <c r="J170" t="str">
        <v>E</v>
      </c>
      <c r="K170" t="str">
        <v>George</v>
      </c>
      <c r="L170" t="str">
        <v>Elizabeth George</v>
      </c>
      <c r="M170" t="str">
        <f t="array" ref="M170">VLOOKUP(L170,books!B169,1,0)</f>
        <v>Elizabeth George</v>
      </c>
      <c r="N170">
        <f>COUNTA(books!C169:'books'!ZZ169)</f>
        <v>1</v>
      </c>
      <c r="O170">
        <f t="array" ref="O170">AVERAGE(rating!C169:'rating'!ZZ169)</f>
        <v>10</v>
      </c>
      <c r="P170">
        <f>SUM(COUNTIF(rating!C169:ZZ169, 10))</f>
        <v>1</v>
      </c>
      <c r="R170">
        <f>COUNTA(year!C169:ZZ169)</f>
        <v>1</v>
      </c>
      <c r="S170">
        <f>COUNTA(books!C169:ZZ169)</f>
        <v>1</v>
      </c>
      <c r="T170">
        <f>COUNTA(rating!C169:ZZ169)</f>
        <v>1</v>
      </c>
      <c r="U170">
        <f t="shared" si="2"/>
        <v>0</v>
      </c>
    </row>
    <row r="171" spans="8:21" x14ac:dyDescent="0.35">
      <c r="H171" s="7" t="str">
        <v>D</v>
      </c>
      <c r="J171" t="str">
        <v>K</v>
      </c>
      <c r="K171" t="str">
        <v>DiCamillo</v>
      </c>
      <c r="L171" t="str">
        <v>Kate DiCamillo</v>
      </c>
      <c r="M171" t="str">
        <f t="array" ref="M171">VLOOKUP(L171,books!B170,1,0)</f>
        <v>Kate DiCamillo</v>
      </c>
      <c r="N171">
        <f>COUNTA(books!C170:'books'!ZZ170)</f>
        <v>2</v>
      </c>
      <c r="O171">
        <f t="array" ref="O171">AVERAGE(rating!C170:'rating'!ZZ170)</f>
        <v>9</v>
      </c>
      <c r="P171">
        <f>SUM(COUNTIF(rating!C170:ZZ170, 10))</f>
        <v>0</v>
      </c>
      <c r="R171">
        <f>COUNTA(year!C170:ZZ170)</f>
        <v>2</v>
      </c>
      <c r="S171">
        <f>COUNTA(books!C170:ZZ170)</f>
        <v>2</v>
      </c>
      <c r="T171">
        <f>COUNTA(rating!C170:ZZ170)</f>
        <v>2</v>
      </c>
      <c r="U171">
        <f t="shared" si="2"/>
        <v>0</v>
      </c>
    </row>
    <row r="172" spans="8:21" x14ac:dyDescent="0.35">
      <c r="H172" s="7" t="str">
        <v>H</v>
      </c>
      <c r="J172" t="str">
        <v>P</v>
      </c>
      <c r="K172" t="str">
        <v>Horvath</v>
      </c>
      <c r="L172" t="str">
        <v>Polly Horvath</v>
      </c>
      <c r="M172" t="str">
        <f t="array" ref="M172">VLOOKUP(L172,books!B171,1,0)</f>
        <v>Polly Horvath</v>
      </c>
      <c r="N172">
        <f>COUNTA(books!C171:'books'!ZZ171)</f>
        <v>1</v>
      </c>
      <c r="O172">
        <f t="array" ref="O172">AVERAGE(rating!C171:'rating'!ZZ171)</f>
        <v>8</v>
      </c>
      <c r="P172">
        <f>SUM(COUNTIF(rating!C171:ZZ171, 10))</f>
        <v>0</v>
      </c>
      <c r="R172">
        <f>COUNTA(year!C171:ZZ171)</f>
        <v>1</v>
      </c>
      <c r="S172">
        <f>COUNTA(books!C171:ZZ171)</f>
        <v>1</v>
      </c>
      <c r="T172">
        <f>COUNTA(rating!C171:ZZ171)</f>
        <v>1</v>
      </c>
      <c r="U172">
        <f t="shared" si="2"/>
        <v>0</v>
      </c>
    </row>
    <row r="173" spans="8:21" x14ac:dyDescent="0.35">
      <c r="H173" s="7" t="str">
        <v>T</v>
      </c>
      <c r="J173" t="str">
        <v>S</v>
      </c>
      <c r="K173" t="str">
        <v>Tolan</v>
      </c>
      <c r="L173" t="str">
        <v>Stephanie S. Tolan</v>
      </c>
      <c r="M173" t="str">
        <f t="array" ref="M173">VLOOKUP(L173,books!B172,1,0)</f>
        <v>Stephanie S. Tolan</v>
      </c>
      <c r="N173">
        <f>COUNTA(books!C172:'books'!ZZ172)</f>
        <v>1</v>
      </c>
      <c r="O173">
        <f t="array" ref="O173">AVERAGE(rating!C172:'rating'!ZZ172)</f>
        <v>7</v>
      </c>
      <c r="P173">
        <f>SUM(COUNTIF(rating!C172:ZZ172, 10))</f>
        <v>0</v>
      </c>
      <c r="R173">
        <f>COUNTA(year!C172:ZZ172)</f>
        <v>1</v>
      </c>
      <c r="S173">
        <f>COUNTA(books!C172:ZZ172)</f>
        <v>1</v>
      </c>
      <c r="T173">
        <f>COUNTA(rating!C172:ZZ172)</f>
        <v>1</v>
      </c>
      <c r="U173">
        <f t="shared" si="2"/>
        <v>0</v>
      </c>
    </row>
    <row r="174" spans="8:21" x14ac:dyDescent="0.35">
      <c r="H174" s="7" t="str">
        <v>C</v>
      </c>
      <c r="J174" t="str">
        <v>S</v>
      </c>
      <c r="K174" t="str">
        <v>Creech</v>
      </c>
      <c r="L174" t="str">
        <v>Sharon Creech</v>
      </c>
      <c r="M174" t="str">
        <f t="array" ref="M174">VLOOKUP(L174,books!B173,1,0)</f>
        <v>Sharon Creech</v>
      </c>
      <c r="N174">
        <f>COUNTA(books!C173:'books'!ZZ173)</f>
        <v>4</v>
      </c>
      <c r="O174">
        <f t="array" ref="O174">AVERAGE(rating!C173:'rating'!ZZ173)</f>
        <v>8.75</v>
      </c>
      <c r="P174">
        <f>SUM(COUNTIF(rating!C173:ZZ173, 10))</f>
        <v>1</v>
      </c>
      <c r="R174">
        <f>COUNTA(year!C173:ZZ173)</f>
        <v>4</v>
      </c>
      <c r="S174">
        <f>COUNTA(books!C173:ZZ173)</f>
        <v>4</v>
      </c>
      <c r="T174">
        <f>COUNTA(rating!C173:ZZ173)</f>
        <v>4</v>
      </c>
      <c r="U174">
        <f t="shared" si="2"/>
        <v>0</v>
      </c>
    </row>
    <row r="175" spans="8:21" x14ac:dyDescent="0.35">
      <c r="H175" s="7" t="str">
        <v>L</v>
      </c>
      <c r="J175" t="str">
        <v>G</v>
      </c>
      <c r="K175" t="str">
        <v>Levine</v>
      </c>
      <c r="L175" t="str">
        <v>Gail Levine</v>
      </c>
      <c r="M175" t="str">
        <f t="array" ref="M175">VLOOKUP(L175,books!B174,1,0)</f>
        <v>Gail Levine</v>
      </c>
      <c r="N175">
        <f>COUNTA(books!C174:'books'!ZZ174)</f>
        <v>1</v>
      </c>
      <c r="O175">
        <f t="array" ref="O175">AVERAGE(rating!C174:'rating'!ZZ174)</f>
        <v>10</v>
      </c>
      <c r="P175">
        <f>SUM(COUNTIF(rating!C174:ZZ174, 10))</f>
        <v>1</v>
      </c>
      <c r="R175">
        <f>COUNTA(year!C174:ZZ174)</f>
        <v>1</v>
      </c>
      <c r="S175">
        <f>COUNTA(books!C174:ZZ174)</f>
        <v>1</v>
      </c>
      <c r="T175">
        <f>COUNTA(rating!C174:ZZ174)</f>
        <v>1</v>
      </c>
      <c r="U175">
        <f t="shared" si="2"/>
        <v>0</v>
      </c>
    </row>
    <row r="176" spans="8:21" x14ac:dyDescent="0.35">
      <c r="H176" s="7" t="str">
        <v>M</v>
      </c>
      <c r="J176" t="str">
        <v>E</v>
      </c>
      <c r="K176" t="str">
        <v>McGraw</v>
      </c>
      <c r="L176" t="str">
        <v>Eloise McGraw</v>
      </c>
      <c r="M176" t="str">
        <f t="array" ref="M176">VLOOKUP(L176,books!B175,1,0)</f>
        <v>Eloise McGraw</v>
      </c>
      <c r="N176">
        <f>COUNTA(books!C175:'books'!ZZ175)</f>
        <v>1</v>
      </c>
      <c r="O176">
        <f t="array" ref="O176">AVERAGE(rating!C175:'rating'!ZZ175)</f>
        <v>10</v>
      </c>
      <c r="P176">
        <f>SUM(COUNTIF(rating!C175:ZZ175, 10))</f>
        <v>1</v>
      </c>
      <c r="R176">
        <f>COUNTA(year!C175:ZZ175)</f>
        <v>1</v>
      </c>
      <c r="S176">
        <f>COUNTA(books!C175:ZZ175)</f>
        <v>1</v>
      </c>
      <c r="T176">
        <f>COUNTA(rating!C175:ZZ175)</f>
        <v>1</v>
      </c>
      <c r="U176">
        <f t="shared" si="2"/>
        <v>0</v>
      </c>
    </row>
    <row r="177" spans="8:21" x14ac:dyDescent="0.35">
      <c r="H177" s="7" t="str">
        <v>S</v>
      </c>
      <c r="J177" t="str">
        <v>E</v>
      </c>
      <c r="K177" t="str">
        <v>Speare</v>
      </c>
      <c r="L177" t="str">
        <v>Elizabeth Speare</v>
      </c>
      <c r="M177" t="str">
        <f t="array" ref="M177">VLOOKUP(L177,books!B176,1,0)</f>
        <v>Elizabeth Speare</v>
      </c>
      <c r="N177">
        <f>COUNTA(books!C176:'books'!ZZ176)</f>
        <v>1</v>
      </c>
      <c r="O177">
        <f t="array" ref="O177">AVERAGE(rating!C176:'rating'!ZZ176)</f>
        <v>7</v>
      </c>
      <c r="P177">
        <f>SUM(COUNTIF(rating!C176:ZZ176, 10))</f>
        <v>0</v>
      </c>
      <c r="R177">
        <f>COUNTA(year!C176:ZZ176)</f>
        <v>1</v>
      </c>
      <c r="S177">
        <f>COUNTA(books!C176:ZZ176)</f>
        <v>1</v>
      </c>
      <c r="T177">
        <f>COUNTA(rating!C176:ZZ176)</f>
        <v>1</v>
      </c>
      <c r="U177">
        <f t="shared" si="2"/>
        <v>0</v>
      </c>
    </row>
    <row r="178" spans="8:21" x14ac:dyDescent="0.35">
      <c r="H178" s="7" t="str">
        <v>V</v>
      </c>
      <c r="J178" t="str">
        <v>C</v>
      </c>
      <c r="K178" t="str">
        <v>Voigt</v>
      </c>
      <c r="L178" t="str">
        <v>Cynthia Voigt</v>
      </c>
      <c r="M178" t="str">
        <f t="array" ref="M178">VLOOKUP(L178,books!B177,1,0)</f>
        <v>Cynthia Voigt</v>
      </c>
      <c r="N178">
        <f>COUNTA(books!C177:'books'!ZZ177)</f>
        <v>4</v>
      </c>
      <c r="O178">
        <f t="array" ref="O178">AVERAGE(rating!C177:'rating'!ZZ177)</f>
        <v>9.25</v>
      </c>
      <c r="P178">
        <f>SUM(COUNTIF(rating!C177:ZZ177, 10))</f>
        <v>1</v>
      </c>
      <c r="R178">
        <f>COUNTA(year!C177:ZZ177)</f>
        <v>4</v>
      </c>
      <c r="S178">
        <f>COUNTA(books!C177:ZZ177)</f>
        <v>4</v>
      </c>
      <c r="T178">
        <f>COUNTA(rating!C177:ZZ177)</f>
        <v>4</v>
      </c>
      <c r="U178">
        <f t="shared" si="2"/>
        <v>0</v>
      </c>
    </row>
    <row r="179" spans="8:21" x14ac:dyDescent="0.35">
      <c r="H179" s="7" t="str">
        <v>B</v>
      </c>
      <c r="J179" t="str">
        <v>B</v>
      </c>
      <c r="K179" t="str">
        <v>Byars</v>
      </c>
      <c r="L179" t="str">
        <v>Betsy Byars</v>
      </c>
      <c r="M179" t="str">
        <f t="array" ref="M179">VLOOKUP(L179,books!B178,1,0)</f>
        <v>Betsy Byars</v>
      </c>
      <c r="N179">
        <f>COUNTA(books!C178:'books'!ZZ178)</f>
        <v>2</v>
      </c>
      <c r="O179">
        <f t="array" ref="O179">AVERAGE(rating!C178:'rating'!ZZ178)</f>
        <v>9</v>
      </c>
      <c r="P179">
        <f>SUM(COUNTIF(rating!C178:ZZ178, 10))</f>
        <v>0</v>
      </c>
      <c r="R179">
        <f>COUNTA(year!C178:ZZ178)</f>
        <v>2</v>
      </c>
      <c r="S179">
        <f>COUNTA(books!C178:ZZ178)</f>
        <v>2</v>
      </c>
      <c r="T179">
        <f>COUNTA(rating!C178:ZZ178)</f>
        <v>2</v>
      </c>
      <c r="U179">
        <f t="shared" si="2"/>
        <v>0</v>
      </c>
    </row>
    <row r="180" spans="8:21" x14ac:dyDescent="0.35">
      <c r="H180" s="7" t="str">
        <v>A</v>
      </c>
      <c r="J180" t="str">
        <v>L</v>
      </c>
      <c r="K180" t="str">
        <v>Alexander</v>
      </c>
      <c r="L180" t="str">
        <v>Lloyd Alexander</v>
      </c>
      <c r="M180" t="str">
        <f t="array" ref="M180">VLOOKUP(L180,books!B179,1,0)</f>
        <v>Lloyd Alexander</v>
      </c>
      <c r="N180">
        <f>COUNTA(books!C179:'books'!ZZ179)</f>
        <v>6</v>
      </c>
      <c r="O180">
        <f t="array" ref="O180">AVERAGE(rating!C179:'rating'!ZZ179)</f>
        <v>9.1666666666666661</v>
      </c>
      <c r="P180">
        <f>SUM(COUNTIF(rating!C179:ZZ179, 10))</f>
        <v>2</v>
      </c>
      <c r="R180">
        <f>COUNTA(year!C179:ZZ179)</f>
        <v>6</v>
      </c>
      <c r="S180">
        <f>COUNTA(books!C179:ZZ179)</f>
        <v>6</v>
      </c>
      <c r="T180">
        <f>COUNTA(rating!C179:ZZ179)</f>
        <v>6</v>
      </c>
      <c r="U180">
        <f t="shared" si="2"/>
        <v>0</v>
      </c>
    </row>
    <row r="181" spans="8:21" x14ac:dyDescent="0.35">
      <c r="H181" s="7" t="str">
        <v>O</v>
      </c>
      <c r="J181" t="str">
        <v>G</v>
      </c>
      <c r="K181" t="str">
        <v>Orwell</v>
      </c>
      <c r="L181" t="str">
        <v>George Orwell</v>
      </c>
      <c r="M181" t="str">
        <f t="array" ref="M181">VLOOKUP(L181,books!B180,1,0)</f>
        <v>George Orwell</v>
      </c>
      <c r="N181">
        <f>COUNTA(books!C180:'books'!ZZ180)</f>
        <v>2</v>
      </c>
      <c r="O181">
        <f t="array" ref="O181">AVERAGE(rating!C180:'rating'!ZZ180)</f>
        <v>8.5</v>
      </c>
      <c r="P181">
        <f>SUM(COUNTIF(rating!C180:ZZ180, 10))</f>
        <v>0</v>
      </c>
      <c r="R181">
        <f>COUNTA(year!C180:ZZ180)</f>
        <v>2</v>
      </c>
      <c r="S181">
        <f>COUNTA(books!C180:ZZ180)</f>
        <v>2</v>
      </c>
      <c r="T181">
        <f>COUNTA(rating!C180:ZZ180)</f>
        <v>2</v>
      </c>
      <c r="U181">
        <f t="shared" si="2"/>
        <v>0</v>
      </c>
    </row>
    <row r="182" spans="8:21" x14ac:dyDescent="0.35">
      <c r="H182" s="7" t="str">
        <v>P</v>
      </c>
      <c r="J182" t="str">
        <v>T</v>
      </c>
      <c r="K182" t="str">
        <v>Pratchett</v>
      </c>
      <c r="L182" t="str">
        <v>Terry Pratchett</v>
      </c>
      <c r="M182" t="str">
        <f t="array" ref="M182">VLOOKUP(L182,books!B181,1,0)</f>
        <v>Terry Pratchett</v>
      </c>
      <c r="N182">
        <f>COUNTA(books!C181:'books'!ZZ181)</f>
        <v>1</v>
      </c>
      <c r="O182">
        <f t="array" ref="O182">AVERAGE(rating!C181:'rating'!ZZ181)</f>
        <v>7</v>
      </c>
      <c r="P182">
        <f>SUM(COUNTIF(rating!C181:ZZ181, 10))</f>
        <v>0</v>
      </c>
      <c r="R182">
        <f>COUNTA(year!C181:ZZ181)</f>
        <v>1</v>
      </c>
      <c r="S182">
        <f>COUNTA(books!C181:ZZ181)</f>
        <v>1</v>
      </c>
      <c r="T182">
        <f>COUNTA(rating!C181:ZZ181)</f>
        <v>1</v>
      </c>
      <c r="U182">
        <f t="shared" si="2"/>
        <v>0</v>
      </c>
    </row>
    <row r="183" spans="8:21" x14ac:dyDescent="0.35">
      <c r="H183" s="7" t="str">
        <v>S</v>
      </c>
      <c r="J183" t="str">
        <v>N</v>
      </c>
      <c r="K183" t="str">
        <v>Savage</v>
      </c>
      <c r="L183" t="str">
        <v>Natalie Savage</v>
      </c>
      <c r="M183" t="str">
        <f t="array" ref="M183">VLOOKUP(L183,books!B182,1,0)</f>
        <v>Natalie Savage</v>
      </c>
      <c r="N183">
        <f>COUNTA(books!C182:'books'!ZZ182)</f>
        <v>1</v>
      </c>
      <c r="O183">
        <f t="array" ref="O183">AVERAGE(rating!C182:'rating'!ZZ182)</f>
        <v>9</v>
      </c>
      <c r="P183">
        <f>SUM(COUNTIF(rating!C182:ZZ182, 10))</f>
        <v>0</v>
      </c>
      <c r="R183">
        <f>COUNTA(year!C182:ZZ182)</f>
        <v>1</v>
      </c>
      <c r="S183">
        <f>COUNTA(books!C182:ZZ182)</f>
        <v>1</v>
      </c>
      <c r="T183">
        <f>COUNTA(rating!C182:ZZ182)</f>
        <v>1</v>
      </c>
      <c r="U183">
        <f t="shared" si="2"/>
        <v>0</v>
      </c>
    </row>
    <row r="184" spans="8:21" x14ac:dyDescent="0.35">
      <c r="H184" s="7" t="str">
        <v>D</v>
      </c>
      <c r="J184" t="str">
        <v>M</v>
      </c>
      <c r="K184" t="str">
        <v>DeJong</v>
      </c>
      <c r="L184" t="str">
        <v>Meindert DeJong</v>
      </c>
      <c r="M184" t="str">
        <f t="array" ref="M184">VLOOKUP(L184,books!B183,1,0)</f>
        <v>Meindert DeJong</v>
      </c>
      <c r="N184">
        <f>COUNTA(books!C183:'books'!ZZ183)</f>
        <v>1</v>
      </c>
      <c r="O184">
        <f t="array" ref="O184">AVERAGE(rating!C183:'rating'!ZZ183)</f>
        <v>10</v>
      </c>
      <c r="P184">
        <f>SUM(COUNTIF(rating!C183:ZZ183, 10))</f>
        <v>1</v>
      </c>
      <c r="R184">
        <f>COUNTA(year!C183:ZZ183)</f>
        <v>1</v>
      </c>
      <c r="S184">
        <f>COUNTA(books!C183:ZZ183)</f>
        <v>1</v>
      </c>
      <c r="T184">
        <f>COUNTA(rating!C183:ZZ183)</f>
        <v>1</v>
      </c>
      <c r="U184">
        <f t="shared" si="2"/>
        <v>0</v>
      </c>
    </row>
    <row r="185" spans="8:21" x14ac:dyDescent="0.35">
      <c r="H185" s="7" t="str">
        <v>W</v>
      </c>
      <c r="J185" t="str">
        <v>E</v>
      </c>
      <c r="K185" t="str">
        <v>White</v>
      </c>
      <c r="L185" t="str">
        <v>E.B. White</v>
      </c>
      <c r="M185" t="str">
        <f t="array" ref="M185">VLOOKUP(L185,books!B184,1,0)</f>
        <v>E.B. White</v>
      </c>
      <c r="N185">
        <f>COUNTA(books!C184:'books'!ZZ184)</f>
        <v>3</v>
      </c>
      <c r="O185">
        <f t="array" ref="O185">AVERAGE(rating!C184:'rating'!ZZ184)</f>
        <v>9.6666666666666661</v>
      </c>
      <c r="P185">
        <f>SUM(COUNTIF(rating!C184:ZZ184, 10))</f>
        <v>2</v>
      </c>
      <c r="R185">
        <f>COUNTA(year!C184:ZZ184)</f>
        <v>3</v>
      </c>
      <c r="S185">
        <f>COUNTA(books!C184:ZZ184)</f>
        <v>3</v>
      </c>
      <c r="T185">
        <f>COUNTA(rating!C184:ZZ184)</f>
        <v>3</v>
      </c>
      <c r="U185">
        <f t="shared" si="2"/>
        <v>0</v>
      </c>
    </row>
    <row r="186" spans="8:21" x14ac:dyDescent="0.35">
      <c r="H186" s="7" t="str">
        <v>N</v>
      </c>
      <c r="J186" t="str">
        <v>E</v>
      </c>
      <c r="K186" t="str">
        <v>Nesbit</v>
      </c>
      <c r="L186" t="str">
        <v>E. Nesbit</v>
      </c>
      <c r="M186" t="str">
        <f t="array" ref="M186">VLOOKUP(L186,books!B185,1,0)</f>
        <v>E. Nesbit</v>
      </c>
      <c r="N186">
        <f>COUNTA(books!C185:'books'!ZZ185)</f>
        <v>4</v>
      </c>
      <c r="O186">
        <f t="array" ref="O186">AVERAGE(rating!C185:'rating'!ZZ185)</f>
        <v>9.25</v>
      </c>
      <c r="P186">
        <f>SUM(COUNTIF(rating!C185:ZZ185, 10))</f>
        <v>1</v>
      </c>
      <c r="R186">
        <f>COUNTA(year!C185:ZZ185)</f>
        <v>4</v>
      </c>
      <c r="S186">
        <f>COUNTA(books!C185:ZZ185)</f>
        <v>4</v>
      </c>
      <c r="T186">
        <f>COUNTA(rating!C185:ZZ185)</f>
        <v>4</v>
      </c>
      <c r="U186">
        <f t="shared" si="2"/>
        <v>0</v>
      </c>
    </row>
    <row r="187" spans="8:21" x14ac:dyDescent="0.35">
      <c r="H187" s="7" t="str">
        <v>G</v>
      </c>
      <c r="J187" t="str">
        <v>R</v>
      </c>
      <c r="K187" t="str">
        <v>Gannett</v>
      </c>
      <c r="L187" t="str">
        <v>Ruth Gannett</v>
      </c>
      <c r="M187" t="str">
        <f t="array" ref="M187">VLOOKUP(L187,books!B186,1,0)</f>
        <v>Ruth Gannett</v>
      </c>
      <c r="N187">
        <f>COUNTA(books!C186:'books'!ZZ186)</f>
        <v>3</v>
      </c>
      <c r="O187">
        <f t="array" ref="O187">AVERAGE(rating!C186:'rating'!ZZ186)</f>
        <v>8.3333333333333339</v>
      </c>
      <c r="P187">
        <f>SUM(COUNTIF(rating!C186:ZZ186, 10))</f>
        <v>0</v>
      </c>
      <c r="R187">
        <f>COUNTA(year!C186:ZZ186)</f>
        <v>3</v>
      </c>
      <c r="S187">
        <f>COUNTA(books!C186:ZZ186)</f>
        <v>3</v>
      </c>
      <c r="T187">
        <f>COUNTA(rating!C186:ZZ186)</f>
        <v>3</v>
      </c>
      <c r="U187">
        <f t="shared" si="2"/>
        <v>0</v>
      </c>
    </row>
    <row r="188" spans="8:21" x14ac:dyDescent="0.35">
      <c r="H188" s="7" t="str">
        <v>J</v>
      </c>
      <c r="J188" t="str">
        <v>W</v>
      </c>
      <c r="K188" t="str">
        <v>James</v>
      </c>
      <c r="L188" t="str">
        <v>Will James</v>
      </c>
      <c r="M188" t="str">
        <f t="array" ref="M188">VLOOKUP(L188,books!B187,1,0)</f>
        <v>Will James</v>
      </c>
      <c r="N188">
        <f>COUNTA(books!C187:'books'!ZZ187)</f>
        <v>1</v>
      </c>
      <c r="O188">
        <f t="array" ref="O188">AVERAGE(rating!C187:'rating'!ZZ187)</f>
        <v>6</v>
      </c>
      <c r="P188">
        <f>SUM(COUNTIF(rating!C187:ZZ187, 10))</f>
        <v>0</v>
      </c>
      <c r="R188">
        <f>COUNTA(year!C187:ZZ187)</f>
        <v>1</v>
      </c>
      <c r="S188">
        <f>COUNTA(books!C187:ZZ187)</f>
        <v>1</v>
      </c>
      <c r="T188">
        <f>COUNTA(rating!C187:ZZ187)</f>
        <v>1</v>
      </c>
      <c r="U188">
        <f t="shared" si="2"/>
        <v>0</v>
      </c>
    </row>
    <row r="189" spans="8:21" x14ac:dyDescent="0.35">
      <c r="H189" s="7" t="str">
        <v>G</v>
      </c>
      <c r="J189" t="str">
        <v>D</v>
      </c>
      <c r="K189" t="str">
        <v>Goding</v>
      </c>
      <c r="L189" t="str">
        <v>David Goding</v>
      </c>
      <c r="M189" t="str">
        <f t="array" ref="M189">VLOOKUP(L189,books!B188,1,0)</f>
        <v>David Goding</v>
      </c>
      <c r="N189">
        <f>COUNTA(books!C188:'books'!ZZ188)</f>
        <v>1</v>
      </c>
      <c r="O189">
        <f t="array" ref="O189">AVERAGE(rating!C188:'rating'!ZZ188)</f>
        <v>10</v>
      </c>
      <c r="P189">
        <f>SUM(COUNTIF(rating!C188:ZZ188, 10))</f>
        <v>1</v>
      </c>
      <c r="R189">
        <f>COUNTA(year!C188:ZZ188)</f>
        <v>1</v>
      </c>
      <c r="S189">
        <f>COUNTA(books!C188:ZZ188)</f>
        <v>1</v>
      </c>
      <c r="T189">
        <f>COUNTA(rating!C188:ZZ188)</f>
        <v>1</v>
      </c>
      <c r="U189">
        <f t="shared" si="2"/>
        <v>0</v>
      </c>
    </row>
    <row r="190" spans="8:21" x14ac:dyDescent="0.35">
      <c r="H190" s="7" t="str">
        <v>T</v>
      </c>
      <c r="J190" t="str">
        <v>J</v>
      </c>
      <c r="K190" t="str">
        <v>Thomas</v>
      </c>
      <c r="L190" t="str">
        <v>Jay Thomas</v>
      </c>
      <c r="M190" t="str">
        <f t="array" ref="M190">VLOOKUP(L190,books!B189,1,0)</f>
        <v>Jay Thomas</v>
      </c>
      <c r="N190">
        <f>COUNTA(books!C189:'books'!ZZ189)</f>
        <v>1</v>
      </c>
      <c r="O190">
        <f t="array" ref="O190">AVERAGE(rating!C189:'rating'!ZZ189)</f>
        <v>8</v>
      </c>
      <c r="P190">
        <f>SUM(COUNTIF(rating!C189:ZZ189, 10))</f>
        <v>0</v>
      </c>
      <c r="R190">
        <f>COUNTA(year!C189:ZZ189)</f>
        <v>1</v>
      </c>
      <c r="S190">
        <f>COUNTA(books!C189:ZZ189)</f>
        <v>1</v>
      </c>
      <c r="T190">
        <f>COUNTA(rating!C189:ZZ189)</f>
        <v>1</v>
      </c>
      <c r="U190">
        <f t="shared" si="2"/>
        <v>0</v>
      </c>
    </row>
    <row r="191" spans="8:21" x14ac:dyDescent="0.35">
      <c r="H191" s="7" t="str">
        <v>S</v>
      </c>
      <c r="J191" t="str">
        <v>S</v>
      </c>
      <c r="K191" t="str">
        <v>Silverstien</v>
      </c>
      <c r="L191" t="str">
        <v>Shel Silverstien</v>
      </c>
      <c r="M191" t="str">
        <f t="array" ref="M191">VLOOKUP(L191,books!B190,1,0)</f>
        <v>Shel Silverstien</v>
      </c>
      <c r="N191">
        <f>COUNTA(books!C190:'books'!ZZ190)</f>
        <v>1</v>
      </c>
      <c r="O191">
        <f t="array" ref="O191">AVERAGE(rating!C190:'rating'!ZZ190)</f>
        <v>9</v>
      </c>
      <c r="P191">
        <f>SUM(COUNTIF(rating!C190:ZZ190, 10))</f>
        <v>0</v>
      </c>
      <c r="R191">
        <f>COUNTA(year!C190:ZZ190)</f>
        <v>1</v>
      </c>
      <c r="S191">
        <f>COUNTA(books!C190:ZZ190)</f>
        <v>1</v>
      </c>
      <c r="T191">
        <f>COUNTA(rating!C190:ZZ190)</f>
        <v>1</v>
      </c>
      <c r="U191">
        <f t="shared" si="2"/>
        <v>0</v>
      </c>
    </row>
    <row r="192" spans="8:21" x14ac:dyDescent="0.35">
      <c r="H192" s="7" t="str">
        <v>M</v>
      </c>
      <c r="J192" t="str">
        <v>R</v>
      </c>
      <c r="K192" t="str">
        <v>Messmore</v>
      </c>
      <c r="L192" t="str">
        <v>Ryan Messmore</v>
      </c>
      <c r="M192" t="str">
        <f t="array" ref="M192">VLOOKUP(L192,books!B191,1,0)</f>
        <v>Ryan Messmore</v>
      </c>
      <c r="N192">
        <f>COUNTA(books!C191:'books'!ZZ191)</f>
        <v>1</v>
      </c>
      <c r="O192">
        <f t="array" ref="O192">AVERAGE(rating!C191:'rating'!ZZ191)</f>
        <v>9</v>
      </c>
      <c r="P192">
        <f>SUM(COUNTIF(rating!C191:ZZ191, 10))</f>
        <v>0</v>
      </c>
      <c r="R192">
        <f>COUNTA(year!C191:ZZ191)</f>
        <v>1</v>
      </c>
      <c r="S192">
        <f>COUNTA(books!C191:ZZ191)</f>
        <v>1</v>
      </c>
      <c r="T192">
        <f>COUNTA(rating!C191:ZZ191)</f>
        <v>1</v>
      </c>
      <c r="U192">
        <f t="shared" si="2"/>
        <v>0</v>
      </c>
    </row>
    <row r="193" spans="8:21" x14ac:dyDescent="0.35">
      <c r="H193" s="7" t="str">
        <v>S</v>
      </c>
      <c r="J193" t="str">
        <v>G</v>
      </c>
      <c r="K193" t="str">
        <v>Stier</v>
      </c>
      <c r="L193" t="str">
        <v>Greg Stier</v>
      </c>
      <c r="M193" t="str">
        <f t="array" ref="M193">VLOOKUP(L193,books!B192,1,0)</f>
        <v>Greg Stier</v>
      </c>
      <c r="N193">
        <f>COUNTA(books!C192:'books'!ZZ192)</f>
        <v>1</v>
      </c>
      <c r="O193">
        <f t="array" ref="O193">AVERAGE(rating!C192:'rating'!ZZ192)</f>
        <v>8</v>
      </c>
      <c r="P193">
        <f>SUM(COUNTIF(rating!C192:ZZ192, 10))</f>
        <v>0</v>
      </c>
      <c r="R193">
        <f>COUNTA(year!C192:ZZ192)</f>
        <v>1</v>
      </c>
      <c r="S193">
        <f>COUNTA(books!C192:ZZ192)</f>
        <v>1</v>
      </c>
      <c r="T193">
        <f>COUNTA(rating!C192:ZZ192)</f>
        <v>1</v>
      </c>
      <c r="U193">
        <f t="shared" si="2"/>
        <v>0</v>
      </c>
    </row>
    <row r="194" spans="8:21" x14ac:dyDescent="0.35">
      <c r="H194" s="7" t="str">
        <v>F</v>
      </c>
      <c r="J194" t="str">
        <v>W</v>
      </c>
      <c r="K194" t="str">
        <v>Farley</v>
      </c>
      <c r="L194" t="str">
        <v>Walter Farley</v>
      </c>
      <c r="M194" t="str">
        <f t="array" ref="M194">VLOOKUP(L194,books!B193,1,0)</f>
        <v>Walter Farley</v>
      </c>
      <c r="N194">
        <f>COUNTA(books!C193:'books'!ZZ193)</f>
        <v>2</v>
      </c>
      <c r="O194">
        <f t="array" ref="O194">AVERAGE(rating!C193:'rating'!ZZ193)</f>
        <v>9</v>
      </c>
      <c r="P194">
        <f>SUM(COUNTIF(rating!C193:ZZ193, 10))</f>
        <v>1</v>
      </c>
      <c r="R194">
        <f>COUNTA(year!C193:ZZ193)</f>
        <v>2</v>
      </c>
      <c r="S194">
        <f>COUNTA(books!C193:ZZ193)</f>
        <v>2</v>
      </c>
      <c r="T194">
        <f>COUNTA(rating!C193:ZZ193)</f>
        <v>2</v>
      </c>
      <c r="U194">
        <f t="shared" si="2"/>
        <v>0</v>
      </c>
    </row>
    <row r="195" spans="8:21" x14ac:dyDescent="0.35">
      <c r="H195" s="7" t="str">
        <v>H</v>
      </c>
      <c r="J195" t="str">
        <v>L</v>
      </c>
      <c r="K195" t="str">
        <v>Hope</v>
      </c>
      <c r="L195" t="str">
        <v>Laura Hope</v>
      </c>
      <c r="M195" t="str">
        <f t="array" ref="M195">VLOOKUP(L195,books!B194,1,0)</f>
        <v>Laura Hope</v>
      </c>
      <c r="N195">
        <f>COUNTA(books!C194:'books'!ZZ194)</f>
        <v>4</v>
      </c>
      <c r="O195">
        <f t="array" ref="O195">AVERAGE(rating!C194:'rating'!ZZ194)</f>
        <v>7</v>
      </c>
      <c r="P195">
        <f>SUM(COUNTIF(rating!C194:ZZ194, 10))</f>
        <v>0</v>
      </c>
      <c r="R195">
        <f>COUNTA(year!C194:ZZ194)</f>
        <v>4</v>
      </c>
      <c r="S195">
        <f>COUNTA(books!C194:ZZ194)</f>
        <v>4</v>
      </c>
      <c r="T195">
        <f>COUNTA(rating!C194:ZZ194)</f>
        <v>4</v>
      </c>
      <c r="U195">
        <f t="shared" ref="U195:U258" si="3">R195-T195</f>
        <v>0</v>
      </c>
    </row>
    <row r="196" spans="8:21" x14ac:dyDescent="0.35">
      <c r="H196" s="7" t="str">
        <v>H</v>
      </c>
      <c r="J196" t="str">
        <v>H</v>
      </c>
      <c r="K196" t="str">
        <v>Homer</v>
      </c>
      <c r="L196" t="str">
        <v>Homer</v>
      </c>
      <c r="M196" t="str">
        <f t="array" ref="M196">VLOOKUP(L196,books!B195,1,0)</f>
        <v>Homer</v>
      </c>
      <c r="N196">
        <f>COUNTA(books!C195:'books'!ZZ195)</f>
        <v>2</v>
      </c>
      <c r="O196">
        <f t="array" ref="O196">AVERAGE(rating!C195:'rating'!ZZ195)</f>
        <v>9</v>
      </c>
      <c r="P196">
        <f>SUM(COUNTIF(rating!C195:ZZ195, 10))</f>
        <v>0</v>
      </c>
      <c r="R196">
        <f>COUNTA(year!C195:ZZ195)</f>
        <v>2</v>
      </c>
      <c r="S196">
        <f>COUNTA(books!C195:ZZ195)</f>
        <v>2</v>
      </c>
      <c r="T196">
        <f>COUNTA(rating!C195:ZZ195)</f>
        <v>2</v>
      </c>
      <c r="U196">
        <f t="shared" si="3"/>
        <v>0</v>
      </c>
    </row>
    <row r="197" spans="8:21" x14ac:dyDescent="0.35">
      <c r="H197" s="7" t="str">
        <v>C</v>
      </c>
      <c r="J197" t="str">
        <v>L</v>
      </c>
      <c r="K197" t="str">
        <v>Carroll</v>
      </c>
      <c r="L197" t="str">
        <v>Lewis Carroll</v>
      </c>
      <c r="M197" t="str">
        <f t="array" ref="M197">VLOOKUP(L197,books!B196,1,0)</f>
        <v>Lewis Carroll</v>
      </c>
      <c r="N197">
        <f>COUNTA(books!C196:'books'!ZZ196)</f>
        <v>1</v>
      </c>
      <c r="O197">
        <f t="array" ref="O197">AVERAGE(rating!C196:'rating'!ZZ196)</f>
        <v>7</v>
      </c>
      <c r="P197">
        <f>SUM(COUNTIF(rating!C196:ZZ196, 10))</f>
        <v>0</v>
      </c>
      <c r="R197">
        <f>COUNTA(year!C196:ZZ196)</f>
        <v>1</v>
      </c>
      <c r="S197">
        <f>COUNTA(books!C196:ZZ196)</f>
        <v>1</v>
      </c>
      <c r="T197">
        <f>COUNTA(rating!C196:ZZ196)</f>
        <v>1</v>
      </c>
      <c r="U197">
        <f t="shared" si="3"/>
        <v>0</v>
      </c>
    </row>
    <row r="198" spans="8:21" x14ac:dyDescent="0.35">
      <c r="H198" s="7" t="str">
        <v>K</v>
      </c>
      <c r="J198" t="str">
        <v>F</v>
      </c>
      <c r="K198" t="str">
        <v>Kafka</v>
      </c>
      <c r="L198" t="str">
        <v>Franz Kafka</v>
      </c>
      <c r="M198" t="str">
        <f t="array" ref="M198">VLOOKUP(L198,books!B197,1,0)</f>
        <v>Franz Kafka</v>
      </c>
      <c r="N198">
        <f>COUNTA(books!C197:'books'!ZZ197)</f>
        <v>2</v>
      </c>
      <c r="O198">
        <f t="array" ref="O198">AVERAGE(rating!C197:'rating'!ZZ197)</f>
        <v>4</v>
      </c>
      <c r="P198">
        <f>SUM(COUNTIF(rating!C197:ZZ197, 10))</f>
        <v>0</v>
      </c>
      <c r="R198">
        <f>COUNTA(year!C197:ZZ197)</f>
        <v>2</v>
      </c>
      <c r="S198">
        <f>COUNTA(books!C197:ZZ197)</f>
        <v>2</v>
      </c>
      <c r="T198">
        <f>COUNTA(rating!C197:ZZ197)</f>
        <v>2</v>
      </c>
      <c r="U198">
        <f t="shared" si="3"/>
        <v>0</v>
      </c>
    </row>
    <row r="199" spans="8:21" x14ac:dyDescent="0.35">
      <c r="H199" s="7" t="str">
        <v>A</v>
      </c>
      <c r="J199" t="str">
        <v>A</v>
      </c>
      <c r="K199" t="str">
        <v>Anonymous</v>
      </c>
      <c r="L199" t="str">
        <v>Anonymous</v>
      </c>
      <c r="M199" t="str">
        <f t="array" ref="M199">VLOOKUP(L199,books!B198,1,0)</f>
        <v>Anonymous</v>
      </c>
      <c r="N199">
        <f>COUNTA(books!C198:'books'!ZZ198)</f>
        <v>1</v>
      </c>
      <c r="O199">
        <f t="array" ref="O199">AVERAGE(rating!C198:'rating'!ZZ198)</f>
        <v>7</v>
      </c>
      <c r="P199">
        <f>SUM(COUNTIF(rating!C198:ZZ198, 10))</f>
        <v>0</v>
      </c>
      <c r="R199">
        <f>COUNTA(year!C198:ZZ198)</f>
        <v>1</v>
      </c>
      <c r="S199">
        <f>COUNTA(books!C198:ZZ198)</f>
        <v>1</v>
      </c>
      <c r="T199">
        <f>COUNTA(rating!C198:ZZ198)</f>
        <v>1</v>
      </c>
      <c r="U199">
        <f t="shared" si="3"/>
        <v>0</v>
      </c>
    </row>
    <row r="200" spans="8:21" x14ac:dyDescent="0.35">
      <c r="H200" s="7" t="str">
        <v>G</v>
      </c>
      <c r="J200" t="str">
        <v>J</v>
      </c>
      <c r="K200" t="str">
        <v>Goethe</v>
      </c>
      <c r="L200" t="str">
        <v>Johann von Goethe</v>
      </c>
      <c r="M200" t="str">
        <f t="array" ref="M200">VLOOKUP(L200,books!B199,1,0)</f>
        <v>Johann von Goethe</v>
      </c>
      <c r="N200">
        <f>COUNTA(books!C199:'books'!ZZ199)</f>
        <v>1</v>
      </c>
      <c r="O200">
        <f t="array" ref="O200">AVERAGE(rating!C199:'rating'!ZZ199)</f>
        <v>6</v>
      </c>
      <c r="P200">
        <f>SUM(COUNTIF(rating!C199:ZZ199, 10))</f>
        <v>0</v>
      </c>
      <c r="R200">
        <f>COUNTA(year!C199:ZZ199)</f>
        <v>1</v>
      </c>
      <c r="S200">
        <f>COUNTA(books!C199:ZZ199)</f>
        <v>1</v>
      </c>
      <c r="T200">
        <f>COUNTA(rating!C199:ZZ199)</f>
        <v>1</v>
      </c>
      <c r="U200">
        <f t="shared" si="3"/>
        <v>0</v>
      </c>
    </row>
    <row r="201" spans="8:21" x14ac:dyDescent="0.35">
      <c r="H201" s="7" t="str">
        <v>G</v>
      </c>
      <c r="J201" t="str">
        <v>B</v>
      </c>
      <c r="K201" t="str">
        <v>Grimm</v>
      </c>
      <c r="L201" t="str">
        <v>Brothers Grimm</v>
      </c>
      <c r="M201" t="str">
        <f t="array" ref="M201">VLOOKUP(L201,books!B200,1,0)</f>
        <v>Brothers Grimm</v>
      </c>
      <c r="N201">
        <f>COUNTA(books!C200:'books'!ZZ200)</f>
        <v>1</v>
      </c>
      <c r="O201">
        <f t="array" ref="O201">AVERAGE(rating!C200:'rating'!ZZ200)</f>
        <v>10</v>
      </c>
      <c r="P201">
        <f>SUM(COUNTIF(rating!C200:ZZ200, 10))</f>
        <v>1</v>
      </c>
      <c r="R201">
        <f>COUNTA(year!C200:ZZ200)</f>
        <v>1</v>
      </c>
      <c r="S201">
        <f>COUNTA(books!C200:ZZ200)</f>
        <v>1</v>
      </c>
      <c r="T201">
        <f>COUNTA(rating!C200:ZZ200)</f>
        <v>1</v>
      </c>
      <c r="U201">
        <f t="shared" si="3"/>
        <v>0</v>
      </c>
    </row>
    <row r="202" spans="8:21" x14ac:dyDescent="0.35">
      <c r="H202" s="7" t="str">
        <v>C</v>
      </c>
      <c r="J202" t="str">
        <v>J</v>
      </c>
      <c r="K202" t="str">
        <v>Conrad</v>
      </c>
      <c r="L202" t="str">
        <v>Joseph Conrad</v>
      </c>
      <c r="M202" t="str">
        <f t="array" ref="M202">VLOOKUP(L202,books!B201,1,0)</f>
        <v>Joseph Conrad</v>
      </c>
      <c r="N202">
        <f>COUNTA(books!C201:'books'!ZZ201)</f>
        <v>1</v>
      </c>
      <c r="O202">
        <f t="array" ref="O202">AVERAGE(rating!C201:'rating'!ZZ201)</f>
        <v>9</v>
      </c>
      <c r="P202">
        <f>SUM(COUNTIF(rating!C201:ZZ201, 10))</f>
        <v>0</v>
      </c>
      <c r="R202">
        <f>COUNTA(year!C201:ZZ201)</f>
        <v>1</v>
      </c>
      <c r="S202">
        <f>COUNTA(books!C201:ZZ201)</f>
        <v>1</v>
      </c>
      <c r="T202">
        <f>COUNTA(rating!C201:ZZ201)</f>
        <v>1</v>
      </c>
      <c r="U202">
        <f t="shared" si="3"/>
        <v>0</v>
      </c>
    </row>
    <row r="203" spans="8:21" x14ac:dyDescent="0.35">
      <c r="H203" s="7" t="str">
        <v>S</v>
      </c>
      <c r="J203" t="str">
        <v>J</v>
      </c>
      <c r="K203" t="str">
        <v>Spyri</v>
      </c>
      <c r="L203" t="str">
        <v>Johanna Spyri</v>
      </c>
      <c r="M203" t="str">
        <f t="array" ref="M203">VLOOKUP(L203,books!B202,1,0)</f>
        <v>Johanna Spyri</v>
      </c>
      <c r="N203">
        <f>COUNTA(books!C202:'books'!ZZ202)</f>
        <v>1</v>
      </c>
      <c r="O203">
        <f t="array" ref="O203">AVERAGE(rating!C202:'rating'!ZZ202)</f>
        <v>7</v>
      </c>
      <c r="P203">
        <f>SUM(COUNTIF(rating!C202:ZZ202, 10))</f>
        <v>0</v>
      </c>
      <c r="R203">
        <f>COUNTA(year!C202:ZZ202)</f>
        <v>1</v>
      </c>
      <c r="S203">
        <f>COUNTA(books!C202:ZZ202)</f>
        <v>1</v>
      </c>
      <c r="T203">
        <f>COUNTA(rating!C202:ZZ202)</f>
        <v>1</v>
      </c>
      <c r="U203">
        <f t="shared" si="3"/>
        <v>0</v>
      </c>
    </row>
    <row r="204" spans="8:21" x14ac:dyDescent="0.35">
      <c r="H204" s="7" t="str">
        <v>S</v>
      </c>
      <c r="J204" t="str">
        <v>H</v>
      </c>
      <c r="K204" t="str">
        <v>Stowe</v>
      </c>
      <c r="L204" t="str">
        <v>Harriet Stowe</v>
      </c>
      <c r="M204" t="str">
        <f t="array" ref="M204">VLOOKUP(L204,books!B203,1,0)</f>
        <v>Harriet Stowe</v>
      </c>
      <c r="N204">
        <f>COUNTA(books!C203:'books'!ZZ203)</f>
        <v>1</v>
      </c>
      <c r="O204">
        <f t="array" ref="O204">AVERAGE(rating!C203:'rating'!ZZ203)</f>
        <v>7</v>
      </c>
      <c r="P204">
        <f>SUM(COUNTIF(rating!C203:ZZ203, 10))</f>
        <v>0</v>
      </c>
      <c r="R204">
        <f>COUNTA(year!C203:ZZ203)</f>
        <v>1</v>
      </c>
      <c r="S204">
        <f>COUNTA(books!C203:ZZ203)</f>
        <v>1</v>
      </c>
      <c r="T204">
        <f>COUNTA(rating!C203:ZZ203)</f>
        <v>1</v>
      </c>
      <c r="U204">
        <f t="shared" si="3"/>
        <v>0</v>
      </c>
    </row>
    <row r="205" spans="8:21" x14ac:dyDescent="0.35">
      <c r="H205" s="7" t="str">
        <v>G</v>
      </c>
      <c r="J205" t="str">
        <v>A</v>
      </c>
      <c r="K205" t="str">
        <v>Goodman</v>
      </c>
      <c r="L205" t="str">
        <v>Alison Goodman</v>
      </c>
      <c r="M205" t="str">
        <f t="array" ref="M205">VLOOKUP(L205,books!B204,1,0)</f>
        <v>Alison Goodman</v>
      </c>
      <c r="N205">
        <f>COUNTA(books!C204:'books'!ZZ204)</f>
        <v>2</v>
      </c>
      <c r="O205">
        <f t="array" ref="O205">AVERAGE(rating!C204:'rating'!ZZ204)</f>
        <v>9.5</v>
      </c>
      <c r="P205">
        <f>SUM(COUNTIF(rating!C204:ZZ204, 10))</f>
        <v>1</v>
      </c>
      <c r="R205">
        <f>COUNTA(year!C204:ZZ204)</f>
        <v>2</v>
      </c>
      <c r="S205">
        <f>COUNTA(books!C204:ZZ204)</f>
        <v>2</v>
      </c>
      <c r="T205">
        <f>COUNTA(rating!C204:ZZ204)</f>
        <v>2</v>
      </c>
      <c r="U205">
        <f t="shared" si="3"/>
        <v>0</v>
      </c>
    </row>
    <row r="206" spans="8:21" x14ac:dyDescent="0.35">
      <c r="H206" s="7" t="str">
        <v>W</v>
      </c>
      <c r="J206" t="str">
        <v>M</v>
      </c>
      <c r="K206" t="str">
        <v>Williams</v>
      </c>
      <c r="L206" t="str">
        <v>Margery Williams</v>
      </c>
      <c r="M206" t="str">
        <f t="array" ref="M206">VLOOKUP(L206,books!B205,1,0)</f>
        <v>Margery Williams</v>
      </c>
      <c r="N206">
        <f>COUNTA(books!C205:'books'!ZZ205)</f>
        <v>1</v>
      </c>
      <c r="O206">
        <f t="array" ref="O206">AVERAGE(rating!C205:'rating'!ZZ205)</f>
        <v>9</v>
      </c>
      <c r="P206">
        <f>SUM(COUNTIF(rating!C205:ZZ205, 10))</f>
        <v>0</v>
      </c>
      <c r="R206">
        <f>COUNTA(year!C205:ZZ205)</f>
        <v>1</v>
      </c>
      <c r="S206">
        <f>COUNTA(books!C205:ZZ205)</f>
        <v>1</v>
      </c>
      <c r="T206">
        <f>COUNTA(rating!C205:ZZ205)</f>
        <v>1</v>
      </c>
      <c r="U206">
        <f t="shared" si="3"/>
        <v>0</v>
      </c>
    </row>
    <row r="207" spans="8:21" x14ac:dyDescent="0.35">
      <c r="H207" s="7" t="str">
        <v>S</v>
      </c>
      <c r="J207" t="str">
        <v>A</v>
      </c>
      <c r="K207" t="str">
        <v>Saint-Exupery</v>
      </c>
      <c r="L207" t="str">
        <v>Antoine de Saint-Exupery</v>
      </c>
      <c r="M207" t="str">
        <f t="array" ref="M207">VLOOKUP(L207,books!B206,1,0)</f>
        <v>Antoine de Saint-Exupery</v>
      </c>
      <c r="N207">
        <f>COUNTA(books!C206:'books'!ZZ206)</f>
        <v>1</v>
      </c>
      <c r="O207">
        <f t="array" ref="O207">AVERAGE(rating!C206:'rating'!ZZ206)</f>
        <v>6</v>
      </c>
      <c r="P207">
        <f>SUM(COUNTIF(rating!C206:ZZ206, 10))</f>
        <v>0</v>
      </c>
      <c r="R207">
        <f>COUNTA(year!C206:ZZ206)</f>
        <v>1</v>
      </c>
      <c r="S207">
        <f>COUNTA(books!C206:ZZ206)</f>
        <v>1</v>
      </c>
      <c r="T207">
        <f>COUNTA(rating!C206:ZZ206)</f>
        <v>1</v>
      </c>
      <c r="U207">
        <f t="shared" si="3"/>
        <v>0</v>
      </c>
    </row>
    <row r="208" spans="8:21" x14ac:dyDescent="0.35">
      <c r="H208" s="7" t="str">
        <v>B</v>
      </c>
      <c r="J208" t="str">
        <v>J</v>
      </c>
      <c r="K208" t="str">
        <v>Bruchac</v>
      </c>
      <c r="L208" t="str">
        <v>Joseph Bruchac</v>
      </c>
      <c r="M208" t="str">
        <f t="array" ref="M208">VLOOKUP(L208,books!B207,1,0)</f>
        <v>Joseph Bruchac</v>
      </c>
      <c r="N208">
        <f>COUNTA(books!C207:'books'!ZZ207)</f>
        <v>1</v>
      </c>
      <c r="O208">
        <f t="array" ref="O208">AVERAGE(rating!C207:'rating'!ZZ207)</f>
        <v>8</v>
      </c>
      <c r="P208">
        <f>SUM(COUNTIF(rating!C207:ZZ207, 10))</f>
        <v>0</v>
      </c>
      <c r="R208">
        <f>COUNTA(year!C207:ZZ207)</f>
        <v>1</v>
      </c>
      <c r="S208">
        <f>COUNTA(books!C207:ZZ207)</f>
        <v>1</v>
      </c>
      <c r="T208">
        <f>COUNTA(rating!C207:ZZ207)</f>
        <v>1</v>
      </c>
      <c r="U208">
        <f t="shared" si="3"/>
        <v>0</v>
      </c>
    </row>
    <row r="209" spans="8:21" x14ac:dyDescent="0.35">
      <c r="H209" s="7" t="str">
        <v>S</v>
      </c>
      <c r="J209" t="str">
        <v>W</v>
      </c>
      <c r="K209" t="str">
        <v>Sleator</v>
      </c>
      <c r="L209" t="str">
        <v>William Sleator</v>
      </c>
      <c r="M209" t="str">
        <f t="array" ref="M209">VLOOKUP(L209,books!B208,1,0)</f>
        <v>William Sleator</v>
      </c>
      <c r="N209">
        <f>COUNTA(books!C208:'books'!ZZ208)</f>
        <v>1</v>
      </c>
      <c r="O209">
        <f t="array" ref="O209">AVERAGE(rating!C208:'rating'!ZZ208)</f>
        <v>8</v>
      </c>
      <c r="P209">
        <f>SUM(COUNTIF(rating!C208:ZZ208, 10))</f>
        <v>0</v>
      </c>
      <c r="R209">
        <f>COUNTA(year!C208:ZZ208)</f>
        <v>1</v>
      </c>
      <c r="S209">
        <f>COUNTA(books!C208:ZZ208)</f>
        <v>1</v>
      </c>
      <c r="T209">
        <f>COUNTA(rating!C208:ZZ208)</f>
        <v>1</v>
      </c>
      <c r="U209">
        <f t="shared" si="3"/>
        <v>0</v>
      </c>
    </row>
    <row r="210" spans="8:21" x14ac:dyDescent="0.35">
      <c r="H210" s="7" t="str">
        <v>N</v>
      </c>
      <c r="J210" t="str">
        <v>M</v>
      </c>
      <c r="K210" t="str">
        <v>Norton</v>
      </c>
      <c r="L210" t="str">
        <v>Mary Norton</v>
      </c>
      <c r="M210" t="str">
        <f t="array" ref="M210">VLOOKUP(L210,books!B209,1,0)</f>
        <v>Mary Norton</v>
      </c>
      <c r="N210">
        <f>COUNTA(books!C209:'books'!ZZ209)</f>
        <v>4</v>
      </c>
      <c r="O210">
        <f t="array" ref="O210">AVERAGE(rating!C209:'rating'!ZZ209)</f>
        <v>8.5</v>
      </c>
      <c r="P210">
        <f>SUM(COUNTIF(rating!C209:ZZ209, 10))</f>
        <v>1</v>
      </c>
      <c r="R210">
        <f>COUNTA(year!C209:ZZ209)</f>
        <v>4</v>
      </c>
      <c r="S210">
        <f>COUNTA(books!C209:ZZ209)</f>
        <v>4</v>
      </c>
      <c r="T210">
        <f>COUNTA(rating!C209:ZZ209)</f>
        <v>4</v>
      </c>
      <c r="U210">
        <f t="shared" si="3"/>
        <v>0</v>
      </c>
    </row>
    <row r="211" spans="8:21" x14ac:dyDescent="0.35">
      <c r="H211" s="7" t="str">
        <v>C</v>
      </c>
      <c r="J211" t="str">
        <v>C</v>
      </c>
      <c r="K211" t="str">
        <v>Collodi</v>
      </c>
      <c r="L211" t="str">
        <v>Carlo Collodi</v>
      </c>
      <c r="M211" t="str">
        <f t="array" ref="M211">VLOOKUP(L211,books!B210,1,0)</f>
        <v>Carlo Collodi</v>
      </c>
      <c r="N211">
        <f>COUNTA(books!C210:'books'!ZZ210)</f>
        <v>1</v>
      </c>
      <c r="O211">
        <f t="array" ref="O211">AVERAGE(rating!C210:'rating'!ZZ210)</f>
        <v>7</v>
      </c>
      <c r="P211">
        <f>SUM(COUNTIF(rating!C210:ZZ210, 10))</f>
        <v>0</v>
      </c>
      <c r="R211">
        <f>COUNTA(year!C210:ZZ210)</f>
        <v>1</v>
      </c>
      <c r="S211">
        <f>COUNTA(books!C210:ZZ210)</f>
        <v>1</v>
      </c>
      <c r="T211">
        <f>COUNTA(rating!C210:ZZ210)</f>
        <v>1</v>
      </c>
      <c r="U211">
        <f t="shared" si="3"/>
        <v>0</v>
      </c>
    </row>
    <row r="212" spans="8:21" x14ac:dyDescent="0.35">
      <c r="H212" s="7" t="str">
        <v>T</v>
      </c>
      <c r="J212" t="str">
        <v>P</v>
      </c>
      <c r="K212" t="str">
        <v>Travers</v>
      </c>
      <c r="L212" t="str">
        <v>P.L. Travers</v>
      </c>
      <c r="M212" t="str">
        <f t="array" ref="M212">VLOOKUP(L212,books!B211,1,0)</f>
        <v>P.L. Travers</v>
      </c>
      <c r="N212">
        <f>COUNTA(books!C211:'books'!ZZ211)</f>
        <v>4</v>
      </c>
      <c r="O212">
        <f t="array" ref="O212">AVERAGE(rating!C211:'rating'!ZZ211)</f>
        <v>10</v>
      </c>
      <c r="P212">
        <f>SUM(COUNTIF(rating!C211:ZZ211, 10))</f>
        <v>4</v>
      </c>
      <c r="R212">
        <f>COUNTA(year!C211:ZZ211)</f>
        <v>4</v>
      </c>
      <c r="S212">
        <f>COUNTA(books!C211:ZZ211)</f>
        <v>4</v>
      </c>
      <c r="T212">
        <f>COUNTA(rating!C211:ZZ211)</f>
        <v>4</v>
      </c>
      <c r="U212">
        <f t="shared" si="3"/>
        <v>0</v>
      </c>
    </row>
    <row r="213" spans="8:21" x14ac:dyDescent="0.35">
      <c r="H213" s="7" t="str">
        <v>B</v>
      </c>
      <c r="J213" t="str">
        <v>N</v>
      </c>
      <c r="K213" t="str">
        <v>Babbitt</v>
      </c>
      <c r="L213" t="str">
        <v>Natalie Babbitt</v>
      </c>
      <c r="M213" t="str">
        <f t="array" ref="M213">VLOOKUP(L213,books!B212,1,0)</f>
        <v>Natalie Babbitt</v>
      </c>
      <c r="N213">
        <f>COUNTA(books!C212:'books'!ZZ212)</f>
        <v>1</v>
      </c>
      <c r="O213">
        <f t="array" ref="O213">AVERAGE(rating!C212:'rating'!ZZ212)</f>
        <v>7</v>
      </c>
      <c r="P213">
        <f>SUM(COUNTIF(rating!C212:ZZ212, 10))</f>
        <v>0</v>
      </c>
      <c r="R213">
        <f>COUNTA(year!C212:ZZ212)</f>
        <v>1</v>
      </c>
      <c r="S213">
        <f>COUNTA(books!C212:ZZ212)</f>
        <v>1</v>
      </c>
      <c r="T213">
        <f>COUNTA(rating!C212:ZZ212)</f>
        <v>1</v>
      </c>
      <c r="U213">
        <f t="shared" si="3"/>
        <v>0</v>
      </c>
    </row>
    <row r="214" spans="8:21" x14ac:dyDescent="0.35">
      <c r="H214" s="7" t="str">
        <v>F</v>
      </c>
      <c r="J214" t="str">
        <v>S</v>
      </c>
      <c r="K214" t="str">
        <v>Fikkert</v>
      </c>
      <c r="L214" t="str">
        <v>Steve Corbett &amp; Brian Fikkert</v>
      </c>
      <c r="M214" t="str">
        <f t="array" ref="M214">VLOOKUP(L214,books!B213,1,0)</f>
        <v>Steve Corbett &amp; Brian Fikkert</v>
      </c>
      <c r="N214">
        <f>COUNTA(books!C213:'books'!ZZ213)</f>
        <v>1</v>
      </c>
      <c r="O214">
        <f t="array" ref="O214">AVERAGE(rating!C213:'rating'!ZZ213)</f>
        <v>9</v>
      </c>
      <c r="P214">
        <f>SUM(COUNTIF(rating!C213:ZZ213, 10))</f>
        <v>0</v>
      </c>
      <c r="R214">
        <f>COUNTA(year!C213:ZZ213)</f>
        <v>1</v>
      </c>
      <c r="S214">
        <f>COUNTA(books!C213:ZZ213)</f>
        <v>1</v>
      </c>
      <c r="T214">
        <f>COUNTA(rating!C213:ZZ213)</f>
        <v>1</v>
      </c>
      <c r="U214">
        <f t="shared" si="3"/>
        <v>0</v>
      </c>
    </row>
    <row r="215" spans="8:21" x14ac:dyDescent="0.35">
      <c r="H215" s="7" t="str">
        <v>L</v>
      </c>
      <c r="J215" t="str">
        <v>M</v>
      </c>
      <c r="K215" t="str">
        <v>Lupica</v>
      </c>
      <c r="L215" t="str">
        <v>Mike Lupica</v>
      </c>
      <c r="M215" t="str">
        <f t="array" ref="M215">VLOOKUP(L215,books!B214,1,0)</f>
        <v>Mike Lupica</v>
      </c>
      <c r="N215">
        <f>COUNTA(books!C214:'books'!ZZ214)</f>
        <v>1</v>
      </c>
      <c r="O215">
        <f t="array" ref="O215">AVERAGE(rating!C214:'rating'!ZZ214)</f>
        <v>6</v>
      </c>
      <c r="P215">
        <f>SUM(COUNTIF(rating!C214:ZZ214, 10))</f>
        <v>0</v>
      </c>
      <c r="R215">
        <f>COUNTA(year!C214:ZZ214)</f>
        <v>1</v>
      </c>
      <c r="S215">
        <f>COUNTA(books!C214:ZZ214)</f>
        <v>1</v>
      </c>
      <c r="T215">
        <f>COUNTA(rating!C214:ZZ214)</f>
        <v>1</v>
      </c>
      <c r="U215">
        <f t="shared" si="3"/>
        <v>0</v>
      </c>
    </row>
    <row r="216" spans="8:21" x14ac:dyDescent="0.35">
      <c r="H216" s="7" t="str">
        <v>C</v>
      </c>
      <c r="J216" t="str">
        <v>E</v>
      </c>
      <c r="K216" t="str">
        <v>Coleman</v>
      </c>
      <c r="L216" t="str">
        <v>Elliot Coleman</v>
      </c>
      <c r="M216" t="str">
        <f t="array" ref="M216">VLOOKUP(L216,books!B215,1,0)</f>
        <v>Elliot Coleman</v>
      </c>
      <c r="N216">
        <f>COUNTA(books!C215:'books'!ZZ215)</f>
        <v>1</v>
      </c>
      <c r="O216">
        <f t="array" ref="O216">AVERAGE(rating!C215:'rating'!ZZ215)</f>
        <v>8</v>
      </c>
      <c r="P216">
        <f>SUM(COUNTIF(rating!C215:ZZ215, 10))</f>
        <v>0</v>
      </c>
      <c r="R216">
        <f>COUNTA(year!C215:ZZ215)</f>
        <v>1</v>
      </c>
      <c r="S216">
        <f>COUNTA(books!C215:ZZ215)</f>
        <v>1</v>
      </c>
      <c r="T216">
        <f>COUNTA(rating!C215:ZZ215)</f>
        <v>1</v>
      </c>
      <c r="U216">
        <f t="shared" si="3"/>
        <v>0</v>
      </c>
    </row>
    <row r="217" spans="8:21" x14ac:dyDescent="0.35">
      <c r="H217" s="7" t="str">
        <v>C</v>
      </c>
      <c r="J217" t="str">
        <v>W</v>
      </c>
      <c r="K217" t="str">
        <v>China</v>
      </c>
      <c r="L217" t="str">
        <v>Women of China</v>
      </c>
      <c r="M217" t="str">
        <f t="array" ref="M217">VLOOKUP(L217,books!B216,1,0)</f>
        <v>Women of China</v>
      </c>
      <c r="N217">
        <f>COUNTA(books!C216:'books'!ZZ216)</f>
        <v>1</v>
      </c>
      <c r="O217">
        <f t="array" ref="O217">AVERAGE(rating!C216:'rating'!ZZ216)</f>
        <v>9</v>
      </c>
      <c r="P217">
        <f>SUM(COUNTIF(rating!C216:ZZ216, 10))</f>
        <v>0</v>
      </c>
      <c r="R217">
        <f>COUNTA(year!C216:ZZ216)</f>
        <v>1</v>
      </c>
      <c r="S217">
        <f>COUNTA(books!C216:ZZ216)</f>
        <v>1</v>
      </c>
      <c r="T217">
        <f>COUNTA(rating!C216:ZZ216)</f>
        <v>1</v>
      </c>
      <c r="U217">
        <f t="shared" si="3"/>
        <v>0</v>
      </c>
    </row>
    <row r="218" spans="8:21" x14ac:dyDescent="0.35">
      <c r="H218" s="7" t="str">
        <v>H</v>
      </c>
      <c r="J218" t="str">
        <v>J</v>
      </c>
      <c r="K218" t="str">
        <v>Heeger</v>
      </c>
      <c r="L218" t="str">
        <v>Jimmy Williams &amp; Susan Heeger</v>
      </c>
      <c r="M218" t="str">
        <f t="array" ref="M218">VLOOKUP(L218,books!B217,1,0)</f>
        <v>Jimmy Williams &amp; Susan Heeger</v>
      </c>
      <c r="N218">
        <f>COUNTA(books!C217:'books'!ZZ217)</f>
        <v>1</v>
      </c>
      <c r="O218">
        <f t="array" ref="O218">AVERAGE(rating!C217:'rating'!ZZ217)</f>
        <v>9</v>
      </c>
      <c r="P218">
        <f>SUM(COUNTIF(rating!C217:ZZ217, 10))</f>
        <v>0</v>
      </c>
      <c r="R218">
        <f>COUNTA(year!C217:ZZ217)</f>
        <v>1</v>
      </c>
      <c r="S218">
        <f>COUNTA(books!C217:ZZ217)</f>
        <v>1</v>
      </c>
      <c r="T218">
        <f>COUNTA(rating!C217:ZZ217)</f>
        <v>1</v>
      </c>
      <c r="U218">
        <f t="shared" si="3"/>
        <v>0</v>
      </c>
    </row>
    <row r="219" spans="8:21" x14ac:dyDescent="0.35">
      <c r="H219" s="7" t="str">
        <v>D</v>
      </c>
      <c r="J219" t="str">
        <v>W</v>
      </c>
      <c r="K219" t="str">
        <v>Danforth</v>
      </c>
      <c r="L219" t="str">
        <v>William Danforth</v>
      </c>
      <c r="M219" t="str">
        <f t="array" ref="M219">VLOOKUP(L219,books!B218,1,0)</f>
        <v>William Danforth</v>
      </c>
      <c r="N219">
        <f>COUNTA(books!C218:'books'!ZZ218)</f>
        <v>1</v>
      </c>
      <c r="O219">
        <f t="array" ref="O219">AVERAGE(rating!C218:'rating'!ZZ218)</f>
        <v>8</v>
      </c>
      <c r="P219">
        <f>SUM(COUNTIF(rating!C218:ZZ218, 10))</f>
        <v>0</v>
      </c>
      <c r="R219">
        <f>COUNTA(year!C218:ZZ218)</f>
        <v>1</v>
      </c>
      <c r="S219">
        <f>COUNTA(books!C218:ZZ218)</f>
        <v>1</v>
      </c>
      <c r="T219">
        <f>COUNTA(rating!C218:ZZ218)</f>
        <v>1</v>
      </c>
      <c r="U219">
        <f t="shared" si="3"/>
        <v>0</v>
      </c>
    </row>
    <row r="220" spans="8:21" x14ac:dyDescent="0.35">
      <c r="H220" s="7" t="str">
        <v>B</v>
      </c>
      <c r="J220" t="str">
        <v>E</v>
      </c>
      <c r="K220" t="str">
        <v>Bloor</v>
      </c>
      <c r="L220" t="str">
        <v>Edward Bloor</v>
      </c>
      <c r="M220" t="str">
        <f t="array" ref="M220">VLOOKUP(L220,books!B219,1,0)</f>
        <v>Edward Bloor</v>
      </c>
      <c r="N220">
        <f>COUNTA(books!C219:'books'!ZZ219)</f>
        <v>1</v>
      </c>
      <c r="O220">
        <f t="array" ref="O220">AVERAGE(rating!C219:'rating'!ZZ219)</f>
        <v>7</v>
      </c>
      <c r="P220">
        <f>SUM(COUNTIF(rating!C219:ZZ219, 10))</f>
        <v>0</v>
      </c>
      <c r="R220">
        <f>COUNTA(year!C219:ZZ219)</f>
        <v>1</v>
      </c>
      <c r="S220">
        <f>COUNTA(books!C219:ZZ219)</f>
        <v>1</v>
      </c>
      <c r="T220">
        <f>COUNTA(rating!C219:ZZ219)</f>
        <v>1</v>
      </c>
      <c r="U220">
        <f t="shared" si="3"/>
        <v>0</v>
      </c>
    </row>
    <row r="221" spans="8:21" x14ac:dyDescent="0.35">
      <c r="H221" s="7" t="str">
        <v>C</v>
      </c>
      <c r="J221" t="str">
        <v>E</v>
      </c>
      <c r="K221" t="str">
        <v>Cline</v>
      </c>
      <c r="L221" t="str">
        <v>Ernest Cline</v>
      </c>
      <c r="M221" t="str">
        <f t="array" ref="M221">VLOOKUP(L221,books!B220,1,0)</f>
        <v>Ernest Cline</v>
      </c>
      <c r="N221">
        <f>COUNTA(books!C220:'books'!ZZ220)</f>
        <v>1</v>
      </c>
      <c r="O221">
        <f t="array" ref="O221">AVERAGE(rating!C220:'rating'!ZZ220)</f>
        <v>10</v>
      </c>
      <c r="P221">
        <f>SUM(COUNTIF(rating!C220:ZZ220, 10))</f>
        <v>1</v>
      </c>
      <c r="R221">
        <f>COUNTA(year!C220:ZZ220)</f>
        <v>1</v>
      </c>
      <c r="S221">
        <f>COUNTA(books!C220:ZZ220)</f>
        <v>1</v>
      </c>
      <c r="T221">
        <f>COUNTA(rating!C220:ZZ220)</f>
        <v>1</v>
      </c>
      <c r="U221">
        <f t="shared" si="3"/>
        <v>0</v>
      </c>
    </row>
    <row r="222" spans="8:21" x14ac:dyDescent="0.35">
      <c r="H222" s="7" t="str">
        <v>G</v>
      </c>
      <c r="J222" t="str">
        <v>D</v>
      </c>
      <c r="K222" t="str">
        <v>Gutman</v>
      </c>
      <c r="L222" t="str">
        <v>Dan Gutman</v>
      </c>
      <c r="M222" t="str">
        <f t="array" ref="M222">VLOOKUP(L222,books!B221,1,0)</f>
        <v>Dan Gutman</v>
      </c>
      <c r="N222">
        <f>COUNTA(books!C221:'books'!ZZ221)</f>
        <v>3</v>
      </c>
      <c r="O222">
        <f t="array" ref="O222">AVERAGE(rating!C221:'rating'!ZZ221)</f>
        <v>6</v>
      </c>
      <c r="P222">
        <f>SUM(COUNTIF(rating!C221:ZZ221, 10))</f>
        <v>0</v>
      </c>
      <c r="R222">
        <f>COUNTA(year!C221:ZZ221)</f>
        <v>3</v>
      </c>
      <c r="S222">
        <f>COUNTA(books!C221:ZZ221)</f>
        <v>3</v>
      </c>
      <c r="T222">
        <f>COUNTA(rating!C221:ZZ221)</f>
        <v>3</v>
      </c>
      <c r="U222">
        <f t="shared" si="3"/>
        <v>0</v>
      </c>
    </row>
    <row r="223" spans="8:21" x14ac:dyDescent="0.35">
      <c r="H223" s="7" t="str">
        <v>M</v>
      </c>
      <c r="J223" t="str">
        <v>B</v>
      </c>
      <c r="K223" t="str">
        <v>Mikaelsen</v>
      </c>
      <c r="L223" t="str">
        <v>Ben Mikaelsen</v>
      </c>
      <c r="M223" t="str">
        <f t="array" ref="M223">VLOOKUP(L223,books!B222,1,0)</f>
        <v>Ben Mikaelsen</v>
      </c>
      <c r="N223">
        <f>COUNTA(books!C222:'books'!ZZ222)</f>
        <v>4</v>
      </c>
      <c r="O223">
        <f t="array" ref="O223">AVERAGE(rating!C222:'rating'!ZZ222)</f>
        <v>9</v>
      </c>
      <c r="P223">
        <f>SUM(COUNTIF(rating!C222:ZZ222, 10))</f>
        <v>1</v>
      </c>
      <c r="R223">
        <f>COUNTA(year!C222:ZZ222)</f>
        <v>4</v>
      </c>
      <c r="S223">
        <f>COUNTA(books!C222:ZZ222)</f>
        <v>4</v>
      </c>
      <c r="T223">
        <f>COUNTA(rating!C222:ZZ222)</f>
        <v>4</v>
      </c>
      <c r="U223">
        <f t="shared" si="3"/>
        <v>0</v>
      </c>
    </row>
    <row r="224" spans="8:21" x14ac:dyDescent="0.35">
      <c r="H224" s="7" t="str">
        <v>E</v>
      </c>
      <c r="J224" t="str">
        <v>C</v>
      </c>
      <c r="K224" t="str">
        <v>Estes</v>
      </c>
      <c r="L224" t="str">
        <v>Clarissa Estes</v>
      </c>
      <c r="M224" t="str">
        <f t="array" ref="M224">VLOOKUP(L224,books!B223,1,0)</f>
        <v>Clarissa Estes</v>
      </c>
      <c r="N224">
        <f>COUNTA(books!C223:'books'!ZZ223)</f>
        <v>1</v>
      </c>
      <c r="O224">
        <f t="array" ref="O224">AVERAGE(rating!C223:'rating'!ZZ223)</f>
        <v>10</v>
      </c>
      <c r="P224">
        <f>SUM(COUNTIF(rating!C223:ZZ223, 10))</f>
        <v>1</v>
      </c>
      <c r="R224">
        <f>COUNTA(year!C223:ZZ223)</f>
        <v>1</v>
      </c>
      <c r="S224">
        <f>COUNTA(books!C223:ZZ223)</f>
        <v>1</v>
      </c>
      <c r="T224">
        <f>COUNTA(rating!C223:ZZ223)</f>
        <v>1</v>
      </c>
      <c r="U224">
        <f t="shared" si="3"/>
        <v>0</v>
      </c>
    </row>
    <row r="225" spans="8:21" x14ac:dyDescent="0.35">
      <c r="H225" s="7" t="str">
        <v>G</v>
      </c>
      <c r="J225" t="str">
        <v>R</v>
      </c>
      <c r="K225" t="str">
        <v>Gaber</v>
      </c>
      <c r="L225" t="str">
        <v>Rafe Martin &amp; Susan Gaber</v>
      </c>
      <c r="M225" t="str">
        <f t="array" ref="M225">VLOOKUP(L225,books!B224,1,0)</f>
        <v>Rafe Martin &amp; Susan Gaber</v>
      </c>
      <c r="N225">
        <f>COUNTA(books!C224:'books'!ZZ224)</f>
        <v>1</v>
      </c>
      <c r="O225">
        <f t="array" ref="O225">AVERAGE(rating!C224:'rating'!ZZ224)</f>
        <v>10</v>
      </c>
      <c r="P225">
        <f>SUM(COUNTIF(rating!C224:ZZ224, 10))</f>
        <v>1</v>
      </c>
      <c r="R225">
        <f>COUNTA(year!C224:ZZ224)</f>
        <v>1</v>
      </c>
      <c r="S225">
        <f>COUNTA(books!C224:ZZ224)</f>
        <v>1</v>
      </c>
      <c r="T225">
        <f>COUNTA(rating!C224:ZZ224)</f>
        <v>1</v>
      </c>
      <c r="U225">
        <f t="shared" si="3"/>
        <v>0</v>
      </c>
    </row>
    <row r="226" spans="8:21" x14ac:dyDescent="0.35">
      <c r="H226" s="7" t="str">
        <v>Y</v>
      </c>
      <c r="J226" t="str">
        <v>J</v>
      </c>
      <c r="K226" t="str">
        <v>Yolen</v>
      </c>
      <c r="L226" t="str">
        <v>Jane Yolen</v>
      </c>
      <c r="M226" t="str">
        <f t="array" ref="M226">VLOOKUP(L226,books!B225,1,0)</f>
        <v>Jane Yolen</v>
      </c>
      <c r="N226">
        <f>COUNTA(books!C225:'books'!ZZ225)</f>
        <v>1</v>
      </c>
      <c r="O226">
        <f t="array" ref="O226">AVERAGE(rating!C225:'rating'!ZZ225)</f>
        <v>8</v>
      </c>
      <c r="P226">
        <f>SUM(COUNTIF(rating!C225:ZZ225, 10))</f>
        <v>0</v>
      </c>
      <c r="R226">
        <f>COUNTA(year!C225:ZZ225)</f>
        <v>1</v>
      </c>
      <c r="S226">
        <f>COUNTA(books!C225:ZZ225)</f>
        <v>1</v>
      </c>
      <c r="T226">
        <f>COUNTA(rating!C225:ZZ225)</f>
        <v>1</v>
      </c>
      <c r="U226">
        <f t="shared" si="3"/>
        <v>0</v>
      </c>
    </row>
    <row r="227" spans="8:21" x14ac:dyDescent="0.35">
      <c r="H227" s="7" t="str">
        <v>A</v>
      </c>
      <c r="J227" t="str">
        <v>A</v>
      </c>
      <c r="K227" t="str">
        <v>Avi</v>
      </c>
      <c r="L227" t="str">
        <v>Avi</v>
      </c>
      <c r="M227" t="str">
        <f t="array" ref="M227">VLOOKUP(L227,books!B226,1,0)</f>
        <v>Avi</v>
      </c>
      <c r="N227">
        <f>COUNTA(books!C226:'books'!ZZ226)</f>
        <v>4</v>
      </c>
      <c r="O227">
        <f t="array" ref="O227">AVERAGE(rating!C226:'rating'!ZZ226)</f>
        <v>9</v>
      </c>
      <c r="P227">
        <f>SUM(COUNTIF(rating!C226:ZZ226, 10))</f>
        <v>1</v>
      </c>
      <c r="R227">
        <f>COUNTA(year!C226:ZZ226)</f>
        <v>4</v>
      </c>
      <c r="S227">
        <f>COUNTA(books!C226:ZZ226)</f>
        <v>4</v>
      </c>
      <c r="T227">
        <f>COUNTA(rating!C226:ZZ226)</f>
        <v>4</v>
      </c>
      <c r="U227">
        <f t="shared" si="3"/>
        <v>0</v>
      </c>
    </row>
    <row r="228" spans="8:21" x14ac:dyDescent="0.35">
      <c r="H228" s="7" t="str">
        <v>S</v>
      </c>
      <c r="J228" t="str">
        <v>S</v>
      </c>
      <c r="K228" t="str">
        <v>Sloate</v>
      </c>
      <c r="L228" t="str">
        <v>Susan Sloate</v>
      </c>
      <c r="M228" t="str">
        <f t="array" ref="M228">VLOOKUP(L228,books!B227,1,0)</f>
        <v>Susan Sloate</v>
      </c>
      <c r="N228">
        <f>COUNTA(books!C227:'books'!ZZ227)</f>
        <v>1</v>
      </c>
      <c r="O228">
        <f t="array" ref="O228">AVERAGE(rating!C227:'rating'!ZZ227)</f>
        <v>10</v>
      </c>
      <c r="P228">
        <f>SUM(COUNTIF(rating!C227:ZZ227, 10))</f>
        <v>1</v>
      </c>
      <c r="R228">
        <f>COUNTA(year!C227:ZZ227)</f>
        <v>1</v>
      </c>
      <c r="S228">
        <f>COUNTA(books!C227:ZZ227)</f>
        <v>1</v>
      </c>
      <c r="T228">
        <f>COUNTA(rating!C227:ZZ227)</f>
        <v>1</v>
      </c>
      <c r="U228">
        <f t="shared" si="3"/>
        <v>0</v>
      </c>
    </row>
    <row r="229" spans="8:21" x14ac:dyDescent="0.35">
      <c r="H229" s="7" t="str">
        <v>C</v>
      </c>
      <c r="J229" t="str">
        <v>E</v>
      </c>
      <c r="K229" t="str">
        <v>Coerr</v>
      </c>
      <c r="L229" t="str">
        <v>Eleanor Coerr</v>
      </c>
      <c r="M229" t="str">
        <f t="array" ref="M229">VLOOKUP(L229,books!B228,1,0)</f>
        <v>Eleanor Coerr</v>
      </c>
      <c r="N229">
        <f>COUNTA(books!C228:'books'!ZZ228)</f>
        <v>1</v>
      </c>
      <c r="O229">
        <f t="array" ref="O229">AVERAGE(rating!C228:'rating'!ZZ228)</f>
        <v>10</v>
      </c>
      <c r="P229">
        <f>SUM(COUNTIF(rating!C228:ZZ228, 10))</f>
        <v>1</v>
      </c>
      <c r="R229">
        <f>COUNTA(year!C228:ZZ228)</f>
        <v>1</v>
      </c>
      <c r="S229">
        <f>COUNTA(books!C228:ZZ228)</f>
        <v>1</v>
      </c>
      <c r="T229">
        <f>COUNTA(rating!C228:ZZ228)</f>
        <v>1</v>
      </c>
      <c r="U229">
        <f t="shared" si="3"/>
        <v>0</v>
      </c>
    </row>
    <row r="230" spans="8:21" x14ac:dyDescent="0.35">
      <c r="H230" s="7" t="str">
        <v>B</v>
      </c>
      <c r="J230" t="str">
        <v>W</v>
      </c>
      <c r="K230" t="str">
        <v>Bridges</v>
      </c>
      <c r="L230" t="str">
        <v>William Bridges</v>
      </c>
      <c r="M230" t="str">
        <f t="array" ref="M230">VLOOKUP(L230,books!B229,1,0)</f>
        <v>William Bridges</v>
      </c>
      <c r="N230">
        <f>COUNTA(books!C229:'books'!ZZ229)</f>
        <v>1</v>
      </c>
      <c r="O230">
        <f t="array" ref="O230">AVERAGE(rating!C229:'rating'!ZZ229)</f>
        <v>9</v>
      </c>
      <c r="P230">
        <f>SUM(COUNTIF(rating!C229:ZZ229, 10))</f>
        <v>0</v>
      </c>
      <c r="R230">
        <f>COUNTA(year!C229:ZZ229)</f>
        <v>1</v>
      </c>
      <c r="S230">
        <f>COUNTA(books!C229:ZZ229)</f>
        <v>1</v>
      </c>
      <c r="T230">
        <f>COUNTA(rating!C229:ZZ229)</f>
        <v>1</v>
      </c>
      <c r="U230">
        <f t="shared" si="3"/>
        <v>0</v>
      </c>
    </row>
    <row r="231" spans="8:21" x14ac:dyDescent="0.35">
      <c r="H231" s="7" t="str">
        <v>S</v>
      </c>
      <c r="J231" t="str">
        <v>S</v>
      </c>
      <c r="K231" t="str">
        <v>Shadrach</v>
      </c>
      <c r="L231" t="str">
        <v>Steve Shadrach</v>
      </c>
      <c r="M231" t="str">
        <f t="array" ref="M231">VLOOKUP(L231,books!B230,1,0)</f>
        <v>Steve Shadrach</v>
      </c>
      <c r="N231">
        <f>COUNTA(books!C230:'books'!ZZ230)</f>
        <v>1</v>
      </c>
      <c r="O231">
        <f t="array" ref="O231">AVERAGE(rating!C230:'rating'!ZZ230)</f>
        <v>7</v>
      </c>
      <c r="P231">
        <f>SUM(COUNTIF(rating!C230:ZZ230, 10))</f>
        <v>0</v>
      </c>
      <c r="R231">
        <f>COUNTA(year!C230:ZZ230)</f>
        <v>1</v>
      </c>
      <c r="S231">
        <f>COUNTA(books!C230:ZZ230)</f>
        <v>1</v>
      </c>
      <c r="T231">
        <f>COUNTA(rating!C230:ZZ230)</f>
        <v>1</v>
      </c>
      <c r="U231">
        <f t="shared" si="3"/>
        <v>0</v>
      </c>
    </row>
    <row r="232" spans="8:21" x14ac:dyDescent="0.35">
      <c r="H232" s="7" t="str">
        <v>F</v>
      </c>
      <c r="J232" t="str">
        <v>R</v>
      </c>
      <c r="K232" t="str">
        <v>Frazer</v>
      </c>
      <c r="L232" t="str">
        <v>R.M. Frazer</v>
      </c>
      <c r="M232" t="str">
        <f t="array" ref="M232">VLOOKUP(L232,books!B231,1,0)</f>
        <v>R.M. Frazer</v>
      </c>
      <c r="N232">
        <f>COUNTA(books!C231:'books'!ZZ231)</f>
        <v>1</v>
      </c>
      <c r="O232">
        <f t="array" ref="O232">AVERAGE(rating!C231:'rating'!ZZ231)</f>
        <v>8</v>
      </c>
      <c r="P232">
        <f>SUM(COUNTIF(rating!C231:ZZ231, 10))</f>
        <v>0</v>
      </c>
      <c r="R232">
        <f>COUNTA(year!C231:ZZ231)</f>
        <v>1</v>
      </c>
      <c r="S232">
        <f>COUNTA(books!C231:ZZ231)</f>
        <v>1</v>
      </c>
      <c r="T232">
        <f>COUNTA(rating!C231:ZZ231)</f>
        <v>1</v>
      </c>
      <c r="U232">
        <f t="shared" si="3"/>
        <v>0</v>
      </c>
    </row>
    <row r="233" spans="8:21" x14ac:dyDescent="0.35">
      <c r="H233" s="7" t="str">
        <v>G</v>
      </c>
      <c r="J233" t="str">
        <v>F</v>
      </c>
      <c r="K233" t="str">
        <v>Goodrich</v>
      </c>
      <c r="L233" t="str">
        <v>Frances Goodrich</v>
      </c>
      <c r="M233" t="str">
        <f t="array" ref="M233">VLOOKUP(L233,books!B232,1,0)</f>
        <v>Frances Goodrich</v>
      </c>
      <c r="N233">
        <f>COUNTA(books!C232:'books'!ZZ232)</f>
        <v>1</v>
      </c>
      <c r="O233">
        <f t="array" ref="O233">AVERAGE(rating!C232:'rating'!ZZ232)</f>
        <v>9</v>
      </c>
      <c r="P233">
        <f>SUM(COUNTIF(rating!C232:ZZ232, 10))</f>
        <v>0</v>
      </c>
      <c r="R233">
        <f>COUNTA(year!C232:ZZ232)</f>
        <v>1</v>
      </c>
      <c r="S233">
        <f>COUNTA(books!C232:ZZ232)</f>
        <v>1</v>
      </c>
      <c r="T233">
        <f>COUNTA(rating!C232:ZZ232)</f>
        <v>1</v>
      </c>
      <c r="U233">
        <f t="shared" si="3"/>
        <v>0</v>
      </c>
    </row>
    <row r="234" spans="8:21" x14ac:dyDescent="0.35">
      <c r="H234" s="7" t="str">
        <v>B</v>
      </c>
      <c r="J234" t="str">
        <v>E</v>
      </c>
      <c r="K234" t="str">
        <v>Bagnold</v>
      </c>
      <c r="L234" t="str">
        <v>Enid Bagnold</v>
      </c>
      <c r="M234" t="e">
        <f t="array" ref="M234">VLOOKUP(L234,books!#REF!,1,0)</f>
        <v>#REF!</v>
      </c>
      <c r="N234">
        <f>COUNTA(books!C233:'books'!ZZ233)</f>
        <v>1</v>
      </c>
      <c r="O234">
        <f t="array" ref="O234">AVERAGE(rating!C233:'rating'!ZZ233)</f>
        <v>7</v>
      </c>
      <c r="P234">
        <f>SUM(COUNTIF(rating!C233:ZZ233, 10))</f>
        <v>0</v>
      </c>
      <c r="R234">
        <f>COUNTA(year!C233:ZZ233)</f>
        <v>1</v>
      </c>
      <c r="S234">
        <f>COUNTA(books!C233:ZZ233)</f>
        <v>1</v>
      </c>
      <c r="T234">
        <f>COUNTA(rating!C233:ZZ233)</f>
        <v>1</v>
      </c>
      <c r="U234">
        <f t="shared" si="3"/>
        <v>0</v>
      </c>
    </row>
    <row r="235" spans="8:21" x14ac:dyDescent="0.35">
      <c r="H235" s="7" t="str">
        <v>S</v>
      </c>
      <c r="J235" t="str">
        <v>F</v>
      </c>
      <c r="K235" t="str">
        <v>Sakade</v>
      </c>
      <c r="L235" t="str">
        <v>Florence Sakade</v>
      </c>
      <c r="M235" t="e">
        <f t="array" ref="M235">VLOOKUP(L235,books!B233,1,0)</f>
        <v>#N/A</v>
      </c>
      <c r="N235">
        <f>COUNTA(books!C234:'books'!ZZ234)</f>
        <v>1</v>
      </c>
      <c r="O235">
        <f t="array" ref="O235">AVERAGE(rating!C234:'rating'!ZZ234)</f>
        <v>7</v>
      </c>
      <c r="P235">
        <f>SUM(COUNTIF(rating!C234:ZZ234, 10))</f>
        <v>0</v>
      </c>
      <c r="R235">
        <f>COUNTA(year!C234:ZZ234)</f>
        <v>1</v>
      </c>
      <c r="S235">
        <f>COUNTA(books!C234:ZZ234)</f>
        <v>1</v>
      </c>
      <c r="T235">
        <f>COUNTA(rating!C234:ZZ234)</f>
        <v>1</v>
      </c>
      <c r="U235">
        <f t="shared" si="3"/>
        <v>0</v>
      </c>
    </row>
    <row r="236" spans="8:21" x14ac:dyDescent="0.35">
      <c r="H236" s="7" t="str">
        <v>M</v>
      </c>
      <c r="J236" t="str">
        <v>L</v>
      </c>
      <c r="K236" t="str">
        <v>Mills</v>
      </c>
      <c r="L236" t="str">
        <v>Lauren Mills</v>
      </c>
      <c r="M236" t="e">
        <f t="array" ref="M236">VLOOKUP(L236,books!B234,1,0)</f>
        <v>#N/A</v>
      </c>
      <c r="N236">
        <f>COUNTA(books!C235:'books'!ZZ235)</f>
        <v>1</v>
      </c>
      <c r="O236">
        <f t="array" ref="O236">AVERAGE(rating!C235:'rating'!ZZ235)</f>
        <v>10</v>
      </c>
      <c r="P236">
        <f>SUM(COUNTIF(rating!C235:ZZ235, 10))</f>
        <v>1</v>
      </c>
      <c r="R236">
        <f>COUNTA(year!C235:ZZ235)</f>
        <v>1</v>
      </c>
      <c r="S236">
        <f>COUNTA(books!C235:ZZ235)</f>
        <v>1</v>
      </c>
      <c r="T236">
        <f>COUNTA(rating!C235:ZZ235)</f>
        <v>1</v>
      </c>
      <c r="U236">
        <f t="shared" si="3"/>
        <v>0</v>
      </c>
    </row>
    <row r="237" spans="8:21" x14ac:dyDescent="0.35">
      <c r="H237" s="7" t="str">
        <v>M</v>
      </c>
      <c r="J237" t="str">
        <v>J</v>
      </c>
      <c r="K237" t="str">
        <v>Murphy</v>
      </c>
      <c r="L237" t="str">
        <v>Jim Murphy</v>
      </c>
      <c r="M237" t="e">
        <f t="array" ref="M237">VLOOKUP(L237,books!B235,1,0)</f>
        <v>#N/A</v>
      </c>
      <c r="N237">
        <f>COUNTA(books!C236:'books'!ZZ236)</f>
        <v>2</v>
      </c>
      <c r="O237">
        <f t="array" ref="O237">AVERAGE(rating!C236:'rating'!ZZ236)</f>
        <v>7</v>
      </c>
      <c r="P237">
        <f>SUM(COUNTIF(rating!C236:ZZ236, 10))</f>
        <v>0</v>
      </c>
      <c r="R237">
        <f>COUNTA(year!C236:ZZ236)</f>
        <v>2</v>
      </c>
      <c r="S237">
        <f>COUNTA(books!C236:ZZ236)</f>
        <v>2</v>
      </c>
      <c r="T237">
        <f>COUNTA(rating!C236:ZZ236)</f>
        <v>2</v>
      </c>
      <c r="U237">
        <f t="shared" si="3"/>
        <v>0</v>
      </c>
    </row>
    <row r="238" spans="8:21" x14ac:dyDescent="0.35">
      <c r="H238" s="7" t="str">
        <v>L</v>
      </c>
      <c r="J238" t="str">
        <v>L</v>
      </c>
      <c r="K238" t="str">
        <v>Leppard</v>
      </c>
      <c r="L238" t="str">
        <v>Lois Leppard</v>
      </c>
      <c r="M238" t="e">
        <f t="array" ref="M238">VLOOKUP(L238,books!B236,1,0)</f>
        <v>#N/A</v>
      </c>
      <c r="N238">
        <f>COUNTA(books!C237:'books'!ZZ237)</f>
        <v>1</v>
      </c>
      <c r="O238">
        <f t="array" ref="O238">AVERAGE(rating!C237:'rating'!ZZ237)</f>
        <v>7</v>
      </c>
      <c r="P238">
        <f>SUM(COUNTIF(rating!C237:ZZ237, 10))</f>
        <v>0</v>
      </c>
      <c r="R238">
        <f>COUNTA(year!C237:ZZ237)</f>
        <v>1</v>
      </c>
      <c r="S238">
        <f>COUNTA(books!C237:ZZ237)</f>
        <v>1</v>
      </c>
      <c r="T238">
        <f>COUNTA(rating!C237:ZZ237)</f>
        <v>1</v>
      </c>
      <c r="U238">
        <f t="shared" si="3"/>
        <v>0</v>
      </c>
    </row>
    <row r="239" spans="8:21" x14ac:dyDescent="0.35">
      <c r="H239" s="7" t="str">
        <v>L</v>
      </c>
      <c r="J239" t="str">
        <v>A</v>
      </c>
      <c r="K239" t="str">
        <v>Lindgren</v>
      </c>
      <c r="L239" t="str">
        <v>Astrid Lindgren</v>
      </c>
      <c r="M239" t="e">
        <f t="array" ref="M239">VLOOKUP(L239,books!B237,1,0)</f>
        <v>#N/A</v>
      </c>
      <c r="N239">
        <f>COUNTA(books!C238:'books'!ZZ238)</f>
        <v>1</v>
      </c>
      <c r="O239">
        <f t="array" ref="O239">AVERAGE(rating!C238:'rating'!ZZ238)</f>
        <v>10</v>
      </c>
      <c r="P239">
        <f>SUM(COUNTIF(rating!C238:ZZ238, 10))</f>
        <v>1</v>
      </c>
      <c r="R239">
        <f>COUNTA(year!C238:ZZ238)</f>
        <v>1</v>
      </c>
      <c r="S239">
        <f>COUNTA(books!C238:ZZ238)</f>
        <v>1</v>
      </c>
      <c r="T239">
        <f>COUNTA(rating!C238:ZZ238)</f>
        <v>1</v>
      </c>
      <c r="U239">
        <f t="shared" si="3"/>
        <v>0</v>
      </c>
    </row>
    <row r="240" spans="8:21" x14ac:dyDescent="0.35">
      <c r="H240" s="7" t="str">
        <v>L</v>
      </c>
      <c r="J240" t="str">
        <v>E</v>
      </c>
      <c r="K240" t="str">
        <v>Lewis</v>
      </c>
      <c r="L240" t="str">
        <v>Elizaberth Lewis</v>
      </c>
      <c r="M240" t="e">
        <f t="array" ref="M240">VLOOKUP(L240,books!B238,1,0)</f>
        <v>#N/A</v>
      </c>
      <c r="N240">
        <f>COUNTA(books!C239:'books'!ZZ239)</f>
        <v>1</v>
      </c>
      <c r="O240">
        <f t="array" ref="O240">AVERAGE(rating!C239:'rating'!ZZ239)</f>
        <v>8</v>
      </c>
      <c r="P240">
        <f>SUM(COUNTIF(rating!C239:ZZ239, 10))</f>
        <v>0</v>
      </c>
      <c r="R240">
        <f>COUNTA(year!C239:ZZ239)</f>
        <v>1</v>
      </c>
      <c r="S240">
        <f>COUNTA(books!C239:ZZ239)</f>
        <v>1</v>
      </c>
      <c r="T240">
        <f>COUNTA(rating!C239:ZZ239)</f>
        <v>1</v>
      </c>
      <c r="U240">
        <f t="shared" si="3"/>
        <v>0</v>
      </c>
    </row>
    <row r="241" spans="8:21" x14ac:dyDescent="0.35">
      <c r="H241" s="7" t="str">
        <v>M</v>
      </c>
      <c r="J241" t="str">
        <v>S</v>
      </c>
      <c r="K241" t="str">
        <v>Meader</v>
      </c>
      <c r="L241" t="str">
        <v>Stephen Meader</v>
      </c>
      <c r="M241" t="e">
        <f t="array" ref="M241">VLOOKUP(L241,books!B239,1,0)</f>
        <v>#N/A</v>
      </c>
      <c r="N241">
        <f>COUNTA(books!C240:'books'!ZZ240)</f>
        <v>1</v>
      </c>
      <c r="O241">
        <f t="array" ref="O241">AVERAGE(rating!C240:'rating'!ZZ240)</f>
        <v>6</v>
      </c>
      <c r="P241">
        <f>SUM(COUNTIF(rating!C240:ZZ240, 10))</f>
        <v>0</v>
      </c>
      <c r="R241">
        <f>COUNTA(year!C240:ZZ240)</f>
        <v>1</v>
      </c>
      <c r="S241">
        <f>COUNTA(books!C240:ZZ240)</f>
        <v>1</v>
      </c>
      <c r="T241">
        <f>COUNTA(rating!C240:ZZ240)</f>
        <v>1</v>
      </c>
      <c r="U241">
        <f t="shared" si="3"/>
        <v>0</v>
      </c>
    </row>
    <row r="242" spans="8:21" x14ac:dyDescent="0.35">
      <c r="H242" s="7" t="str">
        <v>W</v>
      </c>
      <c r="J242" t="str">
        <v>E</v>
      </c>
      <c r="K242" t="str">
        <v>Woodruff</v>
      </c>
      <c r="L242" t="str">
        <v>Elvira Woodruff</v>
      </c>
      <c r="M242" t="e">
        <f t="array" ref="M242">VLOOKUP(L242,books!B240,1,0)</f>
        <v>#N/A</v>
      </c>
      <c r="N242">
        <f>COUNTA(books!C241:'books'!ZZ241)</f>
        <v>1</v>
      </c>
      <c r="O242">
        <f t="array" ref="O242">AVERAGE(rating!C241:'rating'!ZZ241)</f>
        <v>8</v>
      </c>
      <c r="P242">
        <f>SUM(COUNTIF(rating!C241:ZZ241, 10))</f>
        <v>0</v>
      </c>
      <c r="R242">
        <f>COUNTA(year!C241:ZZ241)</f>
        <v>1</v>
      </c>
      <c r="S242">
        <f>COUNTA(books!C241:ZZ241)</f>
        <v>1</v>
      </c>
      <c r="T242">
        <f>COUNTA(rating!C241:ZZ241)</f>
        <v>1</v>
      </c>
      <c r="U242">
        <f t="shared" si="3"/>
        <v>0</v>
      </c>
    </row>
    <row r="243" spans="8:21" x14ac:dyDescent="0.35">
      <c r="H243" s="7" t="str">
        <v>W</v>
      </c>
      <c r="J243" t="str">
        <v>E</v>
      </c>
      <c r="K243" t="str">
        <v>Williams</v>
      </c>
      <c r="L243" t="str">
        <v>E.C. Forster &amp; Slim Williams</v>
      </c>
      <c r="M243" t="e">
        <f t="array" ref="M243">VLOOKUP(L243,books!B241,1,0)</f>
        <v>#N/A</v>
      </c>
      <c r="N243">
        <f>COUNTA(books!C242:'books'!ZZ242)</f>
        <v>1</v>
      </c>
      <c r="O243">
        <f t="array" ref="O243">AVERAGE(rating!C242:'rating'!ZZ242)</f>
        <v>6</v>
      </c>
      <c r="P243">
        <f>SUM(COUNTIF(rating!C242:ZZ242, 10))</f>
        <v>0</v>
      </c>
      <c r="R243">
        <f>COUNTA(year!C242:ZZ242)</f>
        <v>1</v>
      </c>
      <c r="S243">
        <f>COUNTA(books!C242:ZZ242)</f>
        <v>1</v>
      </c>
      <c r="T243">
        <f>COUNTA(rating!C242:ZZ242)</f>
        <v>1</v>
      </c>
      <c r="U243">
        <f t="shared" si="3"/>
        <v>0</v>
      </c>
    </row>
    <row r="244" spans="8:21" x14ac:dyDescent="0.35">
      <c r="H244" s="7" t="str">
        <v>R</v>
      </c>
      <c r="J244" t="str">
        <v>H</v>
      </c>
      <c r="K244" t="str">
        <v>Robinet</v>
      </c>
      <c r="L244" t="str">
        <v>Harriette Robinet</v>
      </c>
      <c r="M244" t="e">
        <f t="array" ref="M244">VLOOKUP(L244,books!B242,1,0)</f>
        <v>#N/A</v>
      </c>
      <c r="N244">
        <f>COUNTA(books!C243:'books'!ZZ243)</f>
        <v>1</v>
      </c>
      <c r="O244">
        <f t="array" ref="O244">AVERAGE(rating!C243:'rating'!ZZ243)</f>
        <v>8</v>
      </c>
      <c r="P244">
        <f>SUM(COUNTIF(rating!C243:ZZ243, 10))</f>
        <v>0</v>
      </c>
      <c r="R244">
        <f>COUNTA(year!C243:ZZ243)</f>
        <v>1</v>
      </c>
      <c r="S244">
        <f>COUNTA(books!C243:ZZ243)</f>
        <v>1</v>
      </c>
      <c r="T244">
        <f>COUNTA(rating!C243:ZZ243)</f>
        <v>1</v>
      </c>
      <c r="U244">
        <f t="shared" si="3"/>
        <v>0</v>
      </c>
    </row>
    <row r="245" spans="8:21" x14ac:dyDescent="0.35">
      <c r="H245" s="7" t="str">
        <v>W</v>
      </c>
      <c r="J245" t="str">
        <v>J</v>
      </c>
      <c r="K245" t="str">
        <v>Wetering</v>
      </c>
      <c r="L245" t="str">
        <v>Janwillem van de Wetering</v>
      </c>
      <c r="M245" t="e">
        <f t="array" ref="M245">VLOOKUP(L245,books!B243,1,0)</f>
        <v>#N/A</v>
      </c>
      <c r="N245">
        <f>COUNTA(books!C244:'books'!ZZ244)</f>
        <v>1</v>
      </c>
      <c r="O245">
        <f t="array" ref="O245">AVERAGE(rating!C244:'rating'!ZZ244)</f>
        <v>9</v>
      </c>
      <c r="P245">
        <f>SUM(COUNTIF(rating!C244:ZZ244, 10))</f>
        <v>0</v>
      </c>
      <c r="R245">
        <f>COUNTA(year!C244:ZZ244)</f>
        <v>1</v>
      </c>
      <c r="S245">
        <f>COUNTA(books!C244:ZZ244)</f>
        <v>1</v>
      </c>
      <c r="T245">
        <f>COUNTA(rating!C244:ZZ244)</f>
        <v>1</v>
      </c>
      <c r="U245">
        <f t="shared" si="3"/>
        <v>0</v>
      </c>
    </row>
    <row r="246" spans="8:21" x14ac:dyDescent="0.35">
      <c r="H246" s="7" t="str">
        <v>J</v>
      </c>
      <c r="J246" t="str">
        <v>D</v>
      </c>
      <c r="K246" t="str">
        <v>Jones</v>
      </c>
      <c r="L246" t="str">
        <v>Debbie Dadey &amp; Marcia Jones</v>
      </c>
      <c r="M246" t="e">
        <f t="array" ref="M246">VLOOKUP(L246,books!B244,1,0)</f>
        <v>#N/A</v>
      </c>
      <c r="N246">
        <f>COUNTA(books!C245:'books'!ZZ245)</f>
        <v>3</v>
      </c>
      <c r="O246">
        <f t="array" ref="O246">AVERAGE(rating!C245:'rating'!ZZ245)</f>
        <v>8</v>
      </c>
      <c r="P246">
        <f>SUM(COUNTIF(rating!C245:ZZ245, 10))</f>
        <v>0</v>
      </c>
      <c r="R246">
        <f>COUNTA(year!C245:ZZ245)</f>
        <v>3</v>
      </c>
      <c r="S246">
        <f>COUNTA(books!C245:ZZ245)</f>
        <v>3</v>
      </c>
      <c r="T246">
        <f>COUNTA(rating!C245:ZZ245)</f>
        <v>3</v>
      </c>
      <c r="U246">
        <f t="shared" si="3"/>
        <v>0</v>
      </c>
    </row>
    <row r="247" spans="8:21" x14ac:dyDescent="0.35">
      <c r="H247" s="7" t="str">
        <v>H</v>
      </c>
      <c r="J247" t="str">
        <v>C</v>
      </c>
      <c r="K247" t="str">
        <v>Haywood</v>
      </c>
      <c r="L247" t="str">
        <v>Carolyn Haywood</v>
      </c>
      <c r="M247" t="e">
        <f t="array" ref="M247">VLOOKUP(L247,books!B245,1,0)</f>
        <v>#N/A</v>
      </c>
      <c r="N247">
        <f>COUNTA(books!C246:'books'!ZZ246)</f>
        <v>1</v>
      </c>
      <c r="O247">
        <f t="array" ref="O247">AVERAGE(rating!C246:'rating'!ZZ246)</f>
        <v>8</v>
      </c>
      <c r="P247">
        <f>SUM(COUNTIF(rating!C246:ZZ246, 10))</f>
        <v>0</v>
      </c>
      <c r="R247">
        <f>COUNTA(year!C246:ZZ246)</f>
        <v>1</v>
      </c>
      <c r="S247">
        <f>COUNTA(books!C246:ZZ246)</f>
        <v>1</v>
      </c>
      <c r="T247">
        <f>COUNTA(rating!C246:ZZ246)</f>
        <v>1</v>
      </c>
      <c r="U247">
        <f t="shared" si="3"/>
        <v>0</v>
      </c>
    </row>
    <row r="248" spans="8:21" x14ac:dyDescent="0.35">
      <c r="H248" s="7" t="str">
        <v>U</v>
      </c>
      <c r="J248" t="str">
        <v>J</v>
      </c>
      <c r="K248" t="str">
        <v>Ure</v>
      </c>
      <c r="L248" t="str">
        <v>Jean Ure</v>
      </c>
      <c r="M248" t="e">
        <f t="array" ref="M248">VLOOKUP(L248,books!B246,1,0)</f>
        <v>#N/A</v>
      </c>
      <c r="N248">
        <f>COUNTA(books!C247:'books'!ZZ247)</f>
        <v>1</v>
      </c>
      <c r="O248">
        <f t="array" ref="O248">AVERAGE(rating!C247:'rating'!ZZ247)</f>
        <v>7</v>
      </c>
      <c r="P248">
        <f>SUM(COUNTIF(rating!C247:ZZ247, 10))</f>
        <v>0</v>
      </c>
      <c r="R248">
        <f>COUNTA(year!C247:ZZ247)</f>
        <v>1</v>
      </c>
      <c r="S248">
        <f>COUNTA(books!C247:ZZ247)</f>
        <v>1</v>
      </c>
      <c r="T248">
        <f>COUNTA(rating!C247:ZZ247)</f>
        <v>1</v>
      </c>
      <c r="U248">
        <f t="shared" si="3"/>
        <v>0</v>
      </c>
    </row>
    <row r="249" spans="8:21" x14ac:dyDescent="0.35">
      <c r="H249" s="7" t="str">
        <v>U</v>
      </c>
      <c r="J249" t="str">
        <v>Y</v>
      </c>
      <c r="K249" t="str">
        <v>Uchida</v>
      </c>
      <c r="L249" t="str">
        <v>Yoshiko Uchida</v>
      </c>
      <c r="M249" t="e">
        <f t="array" ref="M249">VLOOKUP(L249,books!B247,1,0)</f>
        <v>#N/A</v>
      </c>
      <c r="N249">
        <f>COUNTA(books!C248:'books'!ZZ248)</f>
        <v>1</v>
      </c>
      <c r="O249">
        <f t="array" ref="O249">AVERAGE(rating!C248:'rating'!ZZ248)</f>
        <v>8</v>
      </c>
      <c r="P249">
        <f>SUM(COUNTIF(rating!C248:ZZ248, 10))</f>
        <v>0</v>
      </c>
      <c r="R249">
        <f>COUNTA(year!C248:ZZ248)</f>
        <v>1</v>
      </c>
      <c r="S249">
        <f>COUNTA(books!C248:ZZ248)</f>
        <v>1</v>
      </c>
      <c r="T249">
        <f>COUNTA(rating!C248:ZZ248)</f>
        <v>1</v>
      </c>
      <c r="U249">
        <f t="shared" si="3"/>
        <v>0</v>
      </c>
    </row>
    <row r="250" spans="8:21" x14ac:dyDescent="0.35">
      <c r="H250" s="7" t="str">
        <v>L</v>
      </c>
      <c r="J250" t="str">
        <v>J</v>
      </c>
      <c r="K250" t="str">
        <v>Lisle</v>
      </c>
      <c r="L250" t="str">
        <v>Janet Lisle</v>
      </c>
      <c r="M250" t="e">
        <f t="array" ref="M250">VLOOKUP(L250,books!B248,1,0)</f>
        <v>#N/A</v>
      </c>
      <c r="N250">
        <f>COUNTA(books!C249:'books'!ZZ249)</f>
        <v>1</v>
      </c>
      <c r="O250">
        <f t="array" ref="O250">AVERAGE(rating!C249:'rating'!ZZ249)</f>
        <v>7</v>
      </c>
      <c r="P250">
        <f>SUM(COUNTIF(rating!C249:ZZ249, 10))</f>
        <v>0</v>
      </c>
      <c r="R250">
        <f>COUNTA(year!C249:ZZ249)</f>
        <v>1</v>
      </c>
      <c r="S250">
        <f>COUNTA(books!C249:ZZ249)</f>
        <v>1</v>
      </c>
      <c r="T250">
        <f>COUNTA(rating!C249:ZZ249)</f>
        <v>1</v>
      </c>
      <c r="U250">
        <f t="shared" si="3"/>
        <v>0</v>
      </c>
    </row>
    <row r="251" spans="8:21" x14ac:dyDescent="0.35">
      <c r="H251" s="7" t="str">
        <v>G</v>
      </c>
      <c r="J251" t="str">
        <v>P</v>
      </c>
      <c r="K251" t="str">
        <v>Giff</v>
      </c>
      <c r="L251" t="str">
        <v>Patricia Giff</v>
      </c>
      <c r="M251" t="e">
        <f t="array" ref="M251">VLOOKUP(L251,books!B249,1,0)</f>
        <v>#N/A</v>
      </c>
      <c r="N251">
        <f>COUNTA(books!C250:'books'!ZZ250)</f>
        <v>1</v>
      </c>
      <c r="O251">
        <f t="array" ref="O251">AVERAGE(rating!C250:'rating'!ZZ250)</f>
        <v>10</v>
      </c>
      <c r="P251">
        <f>SUM(COUNTIF(rating!C250:ZZ250, 10))</f>
        <v>1</v>
      </c>
      <c r="R251">
        <f>COUNTA(year!C250:ZZ250)</f>
        <v>1</v>
      </c>
      <c r="S251">
        <f>COUNTA(books!C250:ZZ250)</f>
        <v>1</v>
      </c>
      <c r="T251">
        <f>COUNTA(rating!C250:ZZ250)</f>
        <v>1</v>
      </c>
      <c r="U251">
        <f t="shared" si="3"/>
        <v>0</v>
      </c>
    </row>
    <row r="252" spans="8:21" x14ac:dyDescent="0.35">
      <c r="H252" s="7" t="str">
        <v>H</v>
      </c>
      <c r="J252" t="str">
        <v>C</v>
      </c>
      <c r="K252" t="str">
        <v>Hiaasen</v>
      </c>
      <c r="L252" t="str">
        <v>Carl Hiaasen</v>
      </c>
      <c r="M252" t="e">
        <f t="array" ref="M252">VLOOKUP(L252,books!B250,1,0)</f>
        <v>#N/A</v>
      </c>
      <c r="N252">
        <f>COUNTA(books!C251:'books'!ZZ251)</f>
        <v>3</v>
      </c>
      <c r="O252">
        <f t="array" ref="O252">AVERAGE(rating!C251:'rating'!ZZ251)</f>
        <v>9</v>
      </c>
      <c r="P252">
        <f>SUM(COUNTIF(rating!C251:ZZ251, 10))</f>
        <v>0</v>
      </c>
      <c r="R252">
        <f>COUNTA(year!C251:ZZ251)</f>
        <v>3</v>
      </c>
      <c r="S252">
        <f>COUNTA(books!C251:ZZ251)</f>
        <v>3</v>
      </c>
      <c r="T252">
        <f>COUNTA(rating!C251:ZZ251)</f>
        <v>3</v>
      </c>
      <c r="U252">
        <f t="shared" si="3"/>
        <v>0</v>
      </c>
    </row>
    <row r="253" spans="8:21" x14ac:dyDescent="0.35">
      <c r="H253" s="7" t="str">
        <v>S</v>
      </c>
      <c r="J253" t="str">
        <v>D</v>
      </c>
      <c r="K253" t="str">
        <v>Seely</v>
      </c>
      <c r="L253" t="str">
        <v>Debra Seely</v>
      </c>
      <c r="M253" t="e">
        <f t="array" ref="M253">VLOOKUP(L253,books!B251,1,0)</f>
        <v>#N/A</v>
      </c>
      <c r="N253">
        <f>COUNTA(books!C252:'books'!ZZ252)</f>
        <v>1</v>
      </c>
      <c r="O253">
        <f t="array" ref="O253">AVERAGE(rating!C252:'rating'!ZZ252)</f>
        <v>7</v>
      </c>
      <c r="P253">
        <f>SUM(COUNTIF(rating!C252:ZZ252, 10))</f>
        <v>0</v>
      </c>
      <c r="R253">
        <f>COUNTA(year!C252:ZZ252)</f>
        <v>1</v>
      </c>
      <c r="S253">
        <f>COUNTA(books!C252:ZZ252)</f>
        <v>1</v>
      </c>
      <c r="T253">
        <f>COUNTA(rating!C252:ZZ252)</f>
        <v>1</v>
      </c>
      <c r="U253">
        <f t="shared" si="3"/>
        <v>0</v>
      </c>
    </row>
    <row r="254" spans="8:21" x14ac:dyDescent="0.35">
      <c r="H254" s="7" t="str">
        <v>S</v>
      </c>
      <c r="J254" t="str">
        <v>D</v>
      </c>
      <c r="K254" t="str">
        <v>Schroder</v>
      </c>
      <c r="L254" t="str">
        <v>Doris Schroder</v>
      </c>
      <c r="M254" t="e">
        <f t="array" ref="M254">VLOOKUP(L254,books!B252,1,0)</f>
        <v>#N/A</v>
      </c>
      <c r="N254">
        <f>COUNTA(books!C253:'books'!ZZ253)</f>
        <v>1</v>
      </c>
      <c r="O254">
        <f t="array" ref="O254">AVERAGE(rating!C253:'rating'!ZZ253)</f>
        <v>8</v>
      </c>
      <c r="P254">
        <f>SUM(COUNTIF(rating!C253:ZZ253, 10))</f>
        <v>0</v>
      </c>
      <c r="R254">
        <f>COUNTA(year!C253:ZZ253)</f>
        <v>1</v>
      </c>
      <c r="S254">
        <f>COUNTA(books!C253:ZZ253)</f>
        <v>1</v>
      </c>
      <c r="T254">
        <f>COUNTA(rating!C253:ZZ253)</f>
        <v>1</v>
      </c>
      <c r="U254">
        <f t="shared" si="3"/>
        <v>0</v>
      </c>
    </row>
    <row r="255" spans="8:21" x14ac:dyDescent="0.35">
      <c r="H255" s="7" t="str">
        <v>M</v>
      </c>
      <c r="J255" t="str">
        <v>J</v>
      </c>
      <c r="K255" t="str">
        <v>McGee</v>
      </c>
      <c r="L255" t="str">
        <v>Jeffrey Dean &amp; Robby McGee</v>
      </c>
      <c r="M255" t="e">
        <f t="array" ref="M255">VLOOKUP(L255,books!B253,1,0)</f>
        <v>#N/A</v>
      </c>
      <c r="N255">
        <f>COUNTA(books!C254:'books'!ZZ254)</f>
        <v>1</v>
      </c>
      <c r="O255">
        <f t="array" ref="O255">AVERAGE(rating!C254:'rating'!ZZ254)</f>
        <v>8</v>
      </c>
      <c r="P255">
        <f>SUM(COUNTIF(rating!C254:ZZ254, 10))</f>
        <v>0</v>
      </c>
      <c r="R255">
        <f>COUNTA(year!C254:ZZ254)</f>
        <v>1</v>
      </c>
      <c r="S255">
        <f>COUNTA(books!C254:ZZ254)</f>
        <v>1</v>
      </c>
      <c r="T255">
        <f>COUNTA(rating!C254:ZZ254)</f>
        <v>1</v>
      </c>
      <c r="U255">
        <f t="shared" si="3"/>
        <v>0</v>
      </c>
    </row>
    <row r="256" spans="8:21" x14ac:dyDescent="0.35">
      <c r="H256" s="7" t="str">
        <v>A</v>
      </c>
      <c r="J256" t="str">
        <v>M</v>
      </c>
      <c r="K256" t="str">
        <v>Angel</v>
      </c>
      <c r="L256" t="str">
        <v>Marguerite De Angel</v>
      </c>
      <c r="M256" t="e">
        <f t="array" ref="M256">VLOOKUP(L256,books!B254,1,0)</f>
        <v>#N/A</v>
      </c>
      <c r="N256">
        <f>COUNTA(books!C255:'books'!ZZ255)</f>
        <v>1</v>
      </c>
      <c r="O256">
        <f t="array" ref="O256">AVERAGE(rating!C255:'rating'!ZZ255)</f>
        <v>10</v>
      </c>
      <c r="P256">
        <f>SUM(COUNTIF(rating!C255:ZZ255, 10))</f>
        <v>1</v>
      </c>
      <c r="R256">
        <f>COUNTA(year!C255:ZZ255)</f>
        <v>1</v>
      </c>
      <c r="S256">
        <f>COUNTA(books!C255:ZZ255)</f>
        <v>1</v>
      </c>
      <c r="T256">
        <f>COUNTA(rating!C255:ZZ255)</f>
        <v>1</v>
      </c>
      <c r="U256">
        <f t="shared" si="3"/>
        <v>0</v>
      </c>
    </row>
    <row r="257" spans="8:21" x14ac:dyDescent="0.35">
      <c r="H257" s="7" t="str">
        <v>B</v>
      </c>
      <c r="J257" t="str">
        <v>T</v>
      </c>
      <c r="K257" t="str">
        <v>Barron</v>
      </c>
      <c r="L257" t="str">
        <v>T.A. Barron</v>
      </c>
      <c r="M257" t="e">
        <f t="array" ref="M257">VLOOKUP(L257,books!B255,1,0)</f>
        <v>#N/A</v>
      </c>
      <c r="N257">
        <f>COUNTA(books!C256:'books'!ZZ256)</f>
        <v>8</v>
      </c>
      <c r="O257">
        <f t="array" ref="O257">AVERAGE(rating!C256:'rating'!ZZ256)</f>
        <v>10</v>
      </c>
      <c r="P257">
        <f>SUM(COUNTIF(rating!C256:ZZ256, 10))</f>
        <v>8</v>
      </c>
      <c r="R257">
        <f>COUNTA(year!C256:ZZ256)</f>
        <v>8</v>
      </c>
      <c r="S257">
        <f>COUNTA(books!C256:ZZ256)</f>
        <v>8</v>
      </c>
      <c r="T257">
        <f>COUNTA(rating!C256:ZZ256)</f>
        <v>8</v>
      </c>
      <c r="U257">
        <f t="shared" si="3"/>
        <v>0</v>
      </c>
    </row>
    <row r="258" spans="8:21" x14ac:dyDescent="0.35">
      <c r="H258" s="7" t="str">
        <v>K</v>
      </c>
      <c r="J258" t="str">
        <v>G</v>
      </c>
      <c r="K258" t="str">
        <v>Keams</v>
      </c>
      <c r="L258" t="str">
        <v>Geri Keams</v>
      </c>
      <c r="M258" t="e">
        <f t="array" ref="M258">VLOOKUP(L258,books!B256,1,0)</f>
        <v>#N/A</v>
      </c>
      <c r="N258">
        <f>COUNTA(books!C257:'books'!ZZ257)</f>
        <v>1</v>
      </c>
      <c r="O258">
        <f t="array" ref="O258">AVERAGE(rating!C257:'rating'!ZZ257)</f>
        <v>10</v>
      </c>
      <c r="P258">
        <f>SUM(COUNTIF(rating!C257:ZZ257, 10))</f>
        <v>1</v>
      </c>
      <c r="R258">
        <f>COUNTA(year!C257:ZZ257)</f>
        <v>1</v>
      </c>
      <c r="S258">
        <f>COUNTA(books!C257:ZZ257)</f>
        <v>1</v>
      </c>
      <c r="T258">
        <f>COUNTA(rating!C257:ZZ257)</f>
        <v>1</v>
      </c>
      <c r="U258">
        <f t="shared" si="3"/>
        <v>0</v>
      </c>
    </row>
    <row r="259" spans="8:21" x14ac:dyDescent="0.35">
      <c r="H259" s="7" t="str">
        <v>K</v>
      </c>
      <c r="J259" t="str">
        <v>S</v>
      </c>
      <c r="K259" t="str">
        <v>Kilborne</v>
      </c>
      <c r="L259" t="str">
        <v>Sarah Kilborne</v>
      </c>
      <c r="M259" t="e">
        <f t="array" ref="M259">VLOOKUP(L259,books!B257,1,0)</f>
        <v>#N/A</v>
      </c>
      <c r="N259">
        <f>COUNTA(books!C258:'books'!ZZ258)</f>
        <v>1</v>
      </c>
      <c r="O259">
        <f t="array" ref="O259">AVERAGE(rating!C258:'rating'!ZZ258)</f>
        <v>10</v>
      </c>
      <c r="P259">
        <f>SUM(COUNTIF(rating!C258:ZZ258, 10))</f>
        <v>1</v>
      </c>
      <c r="R259">
        <f>COUNTA(year!C258:ZZ258)</f>
        <v>1</v>
      </c>
      <c r="S259">
        <f>COUNTA(books!C258:ZZ258)</f>
        <v>1</v>
      </c>
      <c r="T259">
        <f>COUNTA(rating!C258:ZZ258)</f>
        <v>1</v>
      </c>
      <c r="U259">
        <f t="shared" ref="U259:U322" si="4">R259-T259</f>
        <v>0</v>
      </c>
    </row>
    <row r="260" spans="8:21" x14ac:dyDescent="0.35">
      <c r="H260" s="7" t="str">
        <v>J</v>
      </c>
      <c r="J260" t="str">
        <v>G</v>
      </c>
      <c r="K260" t="str">
        <v>Jacob</v>
      </c>
      <c r="L260" t="str">
        <v>Gayle Ross &amp; Murv Jacob</v>
      </c>
      <c r="M260" t="e">
        <f t="array" ref="M260">VLOOKUP(L260,books!B258,1,0)</f>
        <v>#N/A</v>
      </c>
      <c r="N260">
        <f>COUNTA(books!C259:'books'!ZZ259)</f>
        <v>1</v>
      </c>
      <c r="O260">
        <f t="array" ref="O260">AVERAGE(rating!C259:'rating'!ZZ259)</f>
        <v>10</v>
      </c>
      <c r="P260">
        <f>SUM(COUNTIF(rating!C259:ZZ259, 10))</f>
        <v>1</v>
      </c>
      <c r="R260">
        <f>COUNTA(year!C259:ZZ259)</f>
        <v>1</v>
      </c>
      <c r="S260">
        <f>COUNTA(books!C259:ZZ259)</f>
        <v>1</v>
      </c>
      <c r="T260">
        <f>COUNTA(rating!C259:ZZ259)</f>
        <v>1</v>
      </c>
      <c r="U260">
        <f t="shared" si="4"/>
        <v>0</v>
      </c>
    </row>
    <row r="261" spans="8:21" x14ac:dyDescent="0.35">
      <c r="H261" s="7" t="str">
        <v>V</v>
      </c>
      <c r="J261" t="str">
        <v>K</v>
      </c>
      <c r="K261" t="str">
        <v>Vonnegut</v>
      </c>
      <c r="L261" t="str">
        <v>Kurt Vonnegut</v>
      </c>
      <c r="M261" t="e">
        <f t="array" ref="M261">VLOOKUP(L261,books!B259,1,0)</f>
        <v>#N/A</v>
      </c>
      <c r="N261">
        <f>COUNTA(books!C260:'books'!ZZ260)</f>
        <v>2</v>
      </c>
      <c r="O261">
        <f t="array" ref="O261">AVERAGE(rating!C260:'rating'!ZZ260)</f>
        <v>8.5</v>
      </c>
      <c r="P261">
        <f>SUM(COUNTIF(rating!C260:ZZ260, 10))</f>
        <v>1</v>
      </c>
      <c r="R261">
        <f>COUNTA(year!C260:ZZ260)</f>
        <v>2</v>
      </c>
      <c r="S261">
        <f>COUNTA(books!C260:ZZ260)</f>
        <v>2</v>
      </c>
      <c r="T261">
        <f>COUNTA(rating!C260:ZZ260)</f>
        <v>2</v>
      </c>
      <c r="U261">
        <f t="shared" si="4"/>
        <v>0</v>
      </c>
    </row>
    <row r="262" spans="8:21" x14ac:dyDescent="0.35">
      <c r="H262" s="7" t="str">
        <v>S</v>
      </c>
      <c r="J262" t="str">
        <v>B</v>
      </c>
      <c r="K262" t="str">
        <v>Selznick</v>
      </c>
      <c r="L262" t="str">
        <v>Brian Selznick</v>
      </c>
      <c r="M262" t="e">
        <f t="array" ref="M262">VLOOKUP(L262,books!B260,1,0)</f>
        <v>#N/A</v>
      </c>
      <c r="N262">
        <f>COUNTA(books!C261:'books'!ZZ261)</f>
        <v>2</v>
      </c>
      <c r="O262">
        <f t="array" ref="O262">AVERAGE(rating!C261:'rating'!ZZ261)</f>
        <v>10</v>
      </c>
      <c r="P262">
        <f>SUM(COUNTIF(rating!C261:ZZ261, 10))</f>
        <v>2</v>
      </c>
      <c r="R262">
        <f>COUNTA(year!C261:ZZ261)</f>
        <v>2</v>
      </c>
      <c r="S262">
        <f>COUNTA(books!C261:ZZ261)</f>
        <v>2</v>
      </c>
      <c r="T262">
        <f>COUNTA(rating!C261:ZZ261)</f>
        <v>2</v>
      </c>
      <c r="U262">
        <f t="shared" si="4"/>
        <v>0</v>
      </c>
    </row>
    <row r="263" spans="8:21" x14ac:dyDescent="0.35">
      <c r="H263" s="7" t="str">
        <v>M</v>
      </c>
      <c r="J263" t="str">
        <v>E</v>
      </c>
      <c r="K263" t="str">
        <v>McNamee</v>
      </c>
      <c r="L263" t="str">
        <v>Eoin McNamee</v>
      </c>
      <c r="M263" t="e">
        <f t="array" ref="M263">VLOOKUP(L263,books!B261,1,0)</f>
        <v>#N/A</v>
      </c>
      <c r="N263">
        <f>COUNTA(books!C262:'books'!ZZ262)</f>
        <v>3</v>
      </c>
      <c r="O263">
        <f t="array" ref="O263">AVERAGE(rating!C262:'rating'!ZZ262)</f>
        <v>10</v>
      </c>
      <c r="P263">
        <f>SUM(COUNTIF(rating!C262:ZZ262, 10))</f>
        <v>3</v>
      </c>
      <c r="R263">
        <f>COUNTA(year!C262:ZZ262)</f>
        <v>3</v>
      </c>
      <c r="S263">
        <f>COUNTA(books!C262:ZZ262)</f>
        <v>3</v>
      </c>
      <c r="T263">
        <f>COUNTA(rating!C262:ZZ262)</f>
        <v>3</v>
      </c>
      <c r="U263">
        <f t="shared" si="4"/>
        <v>0</v>
      </c>
    </row>
    <row r="264" spans="8:21" x14ac:dyDescent="0.35">
      <c r="H264" s="7" t="str">
        <v>C</v>
      </c>
      <c r="J264" t="str">
        <v>J</v>
      </c>
      <c r="K264" t="str">
        <v>Canfield</v>
      </c>
      <c r="L264" t="str">
        <v>Jack Canfield</v>
      </c>
      <c r="M264" t="e">
        <f t="array" ref="M264">VLOOKUP(L264,books!B262,1,0)</f>
        <v>#N/A</v>
      </c>
      <c r="N264">
        <f>COUNTA(books!C263:'books'!ZZ263)</f>
        <v>1</v>
      </c>
      <c r="O264">
        <f t="array" ref="O264">AVERAGE(rating!C263:'rating'!ZZ263)</f>
        <v>6</v>
      </c>
      <c r="P264">
        <f>SUM(COUNTIF(rating!C263:ZZ263, 10))</f>
        <v>0</v>
      </c>
      <c r="R264">
        <f>COUNTA(year!C263:ZZ263)</f>
        <v>1</v>
      </c>
      <c r="S264">
        <f>COUNTA(books!C263:ZZ263)</f>
        <v>1</v>
      </c>
      <c r="T264">
        <f>COUNTA(rating!C263:ZZ263)</f>
        <v>1</v>
      </c>
      <c r="U264">
        <f t="shared" si="4"/>
        <v>0</v>
      </c>
    </row>
    <row r="265" spans="8:21" x14ac:dyDescent="0.35">
      <c r="H265" s="7" t="str">
        <v>D</v>
      </c>
      <c r="J265" t="str">
        <v>W</v>
      </c>
      <c r="K265" t="str">
        <v>Durbin</v>
      </c>
      <c r="L265" t="str">
        <v>Williams Durbin</v>
      </c>
      <c r="M265" t="e">
        <f t="array" ref="M265">VLOOKUP(L265,books!B263,1,0)</f>
        <v>#N/A</v>
      </c>
      <c r="N265">
        <f>COUNTA(books!C264:'books'!ZZ264)</f>
        <v>1</v>
      </c>
      <c r="O265">
        <f t="array" ref="O265">AVERAGE(rating!C264:'rating'!ZZ264)</f>
        <v>6</v>
      </c>
      <c r="P265">
        <f>SUM(COUNTIF(rating!C264:ZZ264, 10))</f>
        <v>0</v>
      </c>
      <c r="R265">
        <f>COUNTA(year!C264:ZZ264)</f>
        <v>1</v>
      </c>
      <c r="S265">
        <f>COUNTA(books!C264:ZZ264)</f>
        <v>1</v>
      </c>
      <c r="T265">
        <f>COUNTA(rating!C264:ZZ264)</f>
        <v>1</v>
      </c>
      <c r="U265">
        <f t="shared" si="4"/>
        <v>0</v>
      </c>
    </row>
    <row r="266" spans="8:21" x14ac:dyDescent="0.35">
      <c r="H266" s="7" t="str">
        <v>W</v>
      </c>
      <c r="J266" t="str">
        <v>N</v>
      </c>
      <c r="K266" t="str">
        <v>Wilson</v>
      </c>
      <c r="L266" t="str">
        <v>N.D. Wilson</v>
      </c>
      <c r="M266" t="e">
        <f t="array" ref="M266">VLOOKUP(L266,books!B264,1,0)</f>
        <v>#N/A</v>
      </c>
      <c r="N266">
        <f>COUNTA(books!C265:'books'!ZZ265)</f>
        <v>3</v>
      </c>
      <c r="O266">
        <f t="array" ref="O266">AVERAGE(rating!C265:'rating'!ZZ265)</f>
        <v>9.3333333333333339</v>
      </c>
      <c r="P266">
        <f>SUM(COUNTIF(rating!C265:ZZ265, 10))</f>
        <v>1</v>
      </c>
      <c r="R266">
        <f>COUNTA(year!C265:ZZ265)</f>
        <v>3</v>
      </c>
      <c r="S266">
        <f>COUNTA(books!C265:ZZ265)</f>
        <v>3</v>
      </c>
      <c r="T266">
        <f>COUNTA(rating!C265:ZZ265)</f>
        <v>3</v>
      </c>
      <c r="U266">
        <f t="shared" si="4"/>
        <v>0</v>
      </c>
    </row>
    <row r="267" spans="8:21" x14ac:dyDescent="0.35">
      <c r="H267" s="7" t="str">
        <v>S</v>
      </c>
      <c r="J267" t="str">
        <v>R</v>
      </c>
      <c r="K267" t="str">
        <v>Smith</v>
      </c>
      <c r="L267" t="str">
        <v>Roland Smith</v>
      </c>
      <c r="M267" t="e">
        <f t="array" ref="M267">VLOOKUP(L267,books!B265,1,0)</f>
        <v>#N/A</v>
      </c>
      <c r="N267">
        <f>COUNTA(books!C266:'books'!ZZ266)</f>
        <v>1</v>
      </c>
      <c r="O267">
        <f t="array" ref="O267">AVERAGE(rating!C266:'rating'!ZZ266)</f>
        <v>10</v>
      </c>
      <c r="P267">
        <f>SUM(COUNTIF(rating!C266:ZZ266, 10))</f>
        <v>1</v>
      </c>
      <c r="R267">
        <f>COUNTA(year!C266:ZZ266)</f>
        <v>1</v>
      </c>
      <c r="S267">
        <f>COUNTA(books!C266:ZZ266)</f>
        <v>1</v>
      </c>
      <c r="T267">
        <f>COUNTA(rating!C266:ZZ266)</f>
        <v>1</v>
      </c>
      <c r="U267">
        <f t="shared" si="4"/>
        <v>0</v>
      </c>
    </row>
    <row r="268" spans="8:21" x14ac:dyDescent="0.35">
      <c r="H268" s="7" t="str">
        <v>C</v>
      </c>
      <c r="J268" t="str">
        <v>K</v>
      </c>
      <c r="K268" t="str">
        <v>Crossley-Holland</v>
      </c>
      <c r="L268" t="str">
        <v>Kevin Crossley-Holland</v>
      </c>
      <c r="M268" t="e">
        <f t="array" ref="M268">VLOOKUP(L268,books!B266,1,0)</f>
        <v>#N/A</v>
      </c>
      <c r="N268">
        <f>COUNTA(books!C267:'books'!ZZ267)</f>
        <v>3</v>
      </c>
      <c r="O268">
        <f t="array" ref="O268">AVERAGE(rating!C267:'rating'!ZZ267)</f>
        <v>9</v>
      </c>
      <c r="P268">
        <f>SUM(COUNTIF(rating!C267:ZZ267, 10))</f>
        <v>0</v>
      </c>
      <c r="R268">
        <f>COUNTA(year!C267:ZZ267)</f>
        <v>3</v>
      </c>
      <c r="S268">
        <f>COUNTA(books!C267:ZZ267)</f>
        <v>3</v>
      </c>
      <c r="T268">
        <f>COUNTA(rating!C267:ZZ267)</f>
        <v>3</v>
      </c>
      <c r="U268">
        <f t="shared" si="4"/>
        <v>0</v>
      </c>
    </row>
    <row r="269" spans="8:21" x14ac:dyDescent="0.35">
      <c r="H269" s="7" t="str">
        <v>L</v>
      </c>
      <c r="J269" t="str">
        <v>P</v>
      </c>
      <c r="K269" t="str">
        <v>Lore</v>
      </c>
      <c r="L269" t="str">
        <v>Pittacus Lore</v>
      </c>
      <c r="M269" t="e">
        <f t="array" ref="M269">VLOOKUP(L269,books!B267,1,0)</f>
        <v>#N/A</v>
      </c>
      <c r="N269">
        <f>COUNTA(books!C268:'books'!ZZ268)</f>
        <v>4</v>
      </c>
      <c r="O269">
        <f t="array" ref="O269">AVERAGE(rating!C268:'rating'!ZZ268)</f>
        <v>8</v>
      </c>
      <c r="P269">
        <f>SUM(COUNTIF(rating!C268:ZZ268, 10))</f>
        <v>0</v>
      </c>
      <c r="R269">
        <f>COUNTA(year!C268:ZZ268)</f>
        <v>4</v>
      </c>
      <c r="S269">
        <f>COUNTA(books!C268:ZZ268)</f>
        <v>4</v>
      </c>
      <c r="T269">
        <f>COUNTA(rating!C268:ZZ268)</f>
        <v>4</v>
      </c>
      <c r="U269">
        <f t="shared" si="4"/>
        <v>0</v>
      </c>
    </row>
    <row r="270" spans="8:21" x14ac:dyDescent="0.35">
      <c r="H270" s="7" t="str">
        <v>R</v>
      </c>
      <c r="J270" t="str">
        <v>M</v>
      </c>
      <c r="K270" t="str">
        <v>Reisman</v>
      </c>
      <c r="L270" t="str">
        <v>Michael Reisman</v>
      </c>
      <c r="M270" t="e">
        <f t="array" ref="M270">VLOOKUP(L270,books!B268,1,0)</f>
        <v>#N/A</v>
      </c>
      <c r="N270">
        <f>COUNTA(books!C269:'books'!ZZ269)</f>
        <v>2</v>
      </c>
      <c r="O270">
        <f t="array" ref="O270">AVERAGE(rating!C269:'rating'!ZZ269)</f>
        <v>9</v>
      </c>
      <c r="P270">
        <f>SUM(COUNTIF(rating!C269:ZZ269, 10))</f>
        <v>1</v>
      </c>
      <c r="R270">
        <f>COUNTA(year!C269:ZZ269)</f>
        <v>2</v>
      </c>
      <c r="S270">
        <f>COUNTA(books!C269:ZZ269)</f>
        <v>2</v>
      </c>
      <c r="T270">
        <f>COUNTA(rating!C269:ZZ269)</f>
        <v>2</v>
      </c>
      <c r="U270">
        <f t="shared" si="4"/>
        <v>0</v>
      </c>
    </row>
    <row r="271" spans="8:21" x14ac:dyDescent="0.35">
      <c r="H271" s="7" t="str">
        <v>S</v>
      </c>
      <c r="J271" t="str">
        <v>J</v>
      </c>
      <c r="K271" t="str">
        <v>Shapiro</v>
      </c>
      <c r="L271" t="str">
        <v>Jeffrey Freed &amp; Joan Shapiro</v>
      </c>
      <c r="M271" t="e">
        <f t="array" ref="M271">VLOOKUP(L271,books!B269,1,0)</f>
        <v>#N/A</v>
      </c>
      <c r="N271">
        <f>COUNTA(books!C270:'books'!ZZ270)</f>
        <v>1</v>
      </c>
      <c r="O271">
        <f t="array" ref="O271">AVERAGE(rating!C270:'rating'!ZZ270)</f>
        <v>8</v>
      </c>
      <c r="P271">
        <f>SUM(COUNTIF(rating!C270:ZZ270, 10))</f>
        <v>0</v>
      </c>
      <c r="R271">
        <f>COUNTA(year!C270:ZZ270)</f>
        <v>1</v>
      </c>
      <c r="S271">
        <f>COUNTA(books!C270:ZZ270)</f>
        <v>1</v>
      </c>
      <c r="T271">
        <f>COUNTA(rating!C270:ZZ270)</f>
        <v>1</v>
      </c>
      <c r="U271">
        <f t="shared" si="4"/>
        <v>0</v>
      </c>
    </row>
    <row r="272" spans="8:21" x14ac:dyDescent="0.35">
      <c r="H272" s="7" t="str">
        <v>B</v>
      </c>
      <c r="J272" t="str">
        <v>C</v>
      </c>
      <c r="K272" t="str">
        <v>Bulla</v>
      </c>
      <c r="L272" t="str">
        <v>Clyde Bulla</v>
      </c>
      <c r="M272" t="e">
        <f t="array" ref="M272">VLOOKUP(L272,books!B270,1,0)</f>
        <v>#N/A</v>
      </c>
      <c r="N272">
        <f>COUNTA(books!C271:'books'!ZZ271)</f>
        <v>1</v>
      </c>
      <c r="O272">
        <f t="array" ref="O272">AVERAGE(rating!C271:'rating'!ZZ271)</f>
        <v>7</v>
      </c>
      <c r="P272">
        <f>SUM(COUNTIF(rating!C271:ZZ271, 10))</f>
        <v>0</v>
      </c>
      <c r="R272">
        <f>COUNTA(year!C271:ZZ271)</f>
        <v>1</v>
      </c>
      <c r="S272">
        <f>COUNTA(books!C271:ZZ271)</f>
        <v>1</v>
      </c>
      <c r="T272">
        <f>COUNTA(rating!C271:ZZ271)</f>
        <v>1</v>
      </c>
      <c r="U272">
        <f t="shared" si="4"/>
        <v>0</v>
      </c>
    </row>
    <row r="273" spans="8:21" x14ac:dyDescent="0.35">
      <c r="H273" s="7" t="str">
        <v>C</v>
      </c>
      <c r="J273" t="str">
        <v>M</v>
      </c>
      <c r="K273" t="str">
        <v>Clarke</v>
      </c>
      <c r="L273" t="str">
        <v>M. Clarke</v>
      </c>
      <c r="M273" t="e">
        <f t="array" ref="M273">VLOOKUP(L273,books!B271,1,0)</f>
        <v>#N/A</v>
      </c>
      <c r="N273">
        <f>COUNTA(books!C272:'books'!ZZ272)</f>
        <v>1</v>
      </c>
      <c r="O273">
        <f t="array" ref="O273">AVERAGE(rating!C272:'rating'!ZZ272)</f>
        <v>7</v>
      </c>
      <c r="P273">
        <f>SUM(COUNTIF(rating!C272:ZZ272, 10))</f>
        <v>0</v>
      </c>
      <c r="R273">
        <f>COUNTA(year!C272:ZZ272)</f>
        <v>1</v>
      </c>
      <c r="S273">
        <f>COUNTA(books!C272:ZZ272)</f>
        <v>1</v>
      </c>
      <c r="T273">
        <f>COUNTA(rating!C272:ZZ272)</f>
        <v>1</v>
      </c>
      <c r="U273">
        <f t="shared" si="4"/>
        <v>0</v>
      </c>
    </row>
    <row r="274" spans="8:21" x14ac:dyDescent="0.35">
      <c r="H274" s="7" t="str">
        <v>P</v>
      </c>
      <c r="J274" t="str">
        <v>F</v>
      </c>
      <c r="K274" t="str">
        <v>Press</v>
      </c>
      <c r="L274" t="str">
        <v>Foreign Language Press</v>
      </c>
      <c r="M274" t="e">
        <f t="array" ref="M274">VLOOKUP(L274,books!B272,1,0)</f>
        <v>#N/A</v>
      </c>
      <c r="N274">
        <f>COUNTA(books!C273:'books'!ZZ273)</f>
        <v>2</v>
      </c>
      <c r="O274">
        <f t="array" ref="O274">AVERAGE(rating!C273:'rating'!ZZ273)</f>
        <v>9</v>
      </c>
      <c r="P274">
        <f>SUM(COUNTIF(rating!C273:ZZ273, 10))</f>
        <v>0</v>
      </c>
      <c r="R274">
        <f>COUNTA(year!C273:ZZ273)</f>
        <v>2</v>
      </c>
      <c r="S274">
        <f>COUNTA(books!C273:ZZ273)</f>
        <v>2</v>
      </c>
      <c r="T274">
        <f>COUNTA(rating!C273:ZZ273)</f>
        <v>2</v>
      </c>
      <c r="U274">
        <f t="shared" si="4"/>
        <v>0</v>
      </c>
    </row>
    <row r="275" spans="8:21" x14ac:dyDescent="0.35">
      <c r="H275" s="7" t="str">
        <v>W</v>
      </c>
      <c r="J275" t="str">
        <v>W</v>
      </c>
      <c r="K275" t="str">
        <v>White</v>
      </c>
      <c r="L275" t="str">
        <v>William Strunk and E.B. White</v>
      </c>
      <c r="M275" t="e">
        <f t="array" ref="M275">VLOOKUP(L275,books!B273,1,0)</f>
        <v>#N/A</v>
      </c>
      <c r="N275">
        <f>COUNTA(books!C274:'books'!ZZ274)</f>
        <v>1</v>
      </c>
      <c r="O275">
        <f t="array" ref="O275">AVERAGE(rating!C274:'rating'!ZZ274)</f>
        <v>10</v>
      </c>
      <c r="P275">
        <f>SUM(COUNTIF(rating!C274:ZZ274, 10))</f>
        <v>1</v>
      </c>
      <c r="R275">
        <f>COUNTA(year!C274:ZZ274)</f>
        <v>1</v>
      </c>
      <c r="S275">
        <f>COUNTA(books!C274:ZZ274)</f>
        <v>1</v>
      </c>
      <c r="T275">
        <f>COUNTA(rating!C274:ZZ274)</f>
        <v>1</v>
      </c>
      <c r="U275">
        <f t="shared" si="4"/>
        <v>0</v>
      </c>
    </row>
    <row r="276" spans="8:21" x14ac:dyDescent="0.35">
      <c r="H276" s="7" t="str">
        <v>W</v>
      </c>
      <c r="J276" t="str">
        <v>T</v>
      </c>
      <c r="K276" t="str">
        <v>White</v>
      </c>
      <c r="L276" t="str">
        <v>T.H. White</v>
      </c>
      <c r="M276" t="e">
        <f t="array" ref="M276">VLOOKUP(L276,books!B274,1,0)</f>
        <v>#N/A</v>
      </c>
      <c r="N276">
        <f>COUNTA(books!C275:'books'!ZZ275)</f>
        <v>1</v>
      </c>
      <c r="O276">
        <f t="array" ref="O276">AVERAGE(rating!C275:'rating'!ZZ275)</f>
        <v>8</v>
      </c>
      <c r="P276">
        <f>SUM(COUNTIF(rating!C275:ZZ275, 10))</f>
        <v>0</v>
      </c>
      <c r="R276">
        <f>COUNTA(year!C275:ZZ275)</f>
        <v>1</v>
      </c>
      <c r="S276">
        <f>COUNTA(books!C275:ZZ275)</f>
        <v>1</v>
      </c>
      <c r="T276">
        <f>COUNTA(rating!C275:ZZ275)</f>
        <v>1</v>
      </c>
      <c r="U276">
        <f t="shared" si="4"/>
        <v>0</v>
      </c>
    </row>
    <row r="277" spans="8:21" x14ac:dyDescent="0.35">
      <c r="H277" s="7" t="str">
        <v>L</v>
      </c>
      <c r="J277" t="str">
        <v>J</v>
      </c>
      <c r="K277" t="str">
        <v>Leeuwen</v>
      </c>
      <c r="L277" t="str">
        <v>Jean Van Leeuwen</v>
      </c>
      <c r="M277" t="e">
        <f t="array" ref="M277">VLOOKUP(L277,books!B275,1,0)</f>
        <v>#N/A</v>
      </c>
      <c r="N277">
        <f>COUNTA(books!C276:'books'!ZZ276)</f>
        <v>2</v>
      </c>
      <c r="O277">
        <f t="array" ref="O277">AVERAGE(rating!C276:'rating'!ZZ276)</f>
        <v>8</v>
      </c>
      <c r="P277">
        <f>SUM(COUNTIF(rating!C276:ZZ276, 10))</f>
        <v>1</v>
      </c>
      <c r="R277">
        <f>COUNTA(year!C276:ZZ276)</f>
        <v>2</v>
      </c>
      <c r="S277">
        <f>COUNTA(books!C276:ZZ276)</f>
        <v>2</v>
      </c>
      <c r="T277">
        <f>COUNTA(rating!C276:ZZ276)</f>
        <v>2</v>
      </c>
      <c r="U277">
        <f t="shared" si="4"/>
        <v>0</v>
      </c>
    </row>
    <row r="278" spans="8:21" x14ac:dyDescent="0.35">
      <c r="H278" s="7" t="str">
        <v>E</v>
      </c>
      <c r="J278" t="str">
        <v>N</v>
      </c>
      <c r="K278" t="str">
        <v>Edwards</v>
      </c>
      <c r="L278" t="str">
        <v>Nicholas Edwards</v>
      </c>
      <c r="M278" t="e">
        <f t="array" ref="M278">VLOOKUP(L278,books!B276,1,0)</f>
        <v>#N/A</v>
      </c>
      <c r="N278">
        <f>COUNTA(books!C277:'books'!ZZ277)</f>
        <v>1</v>
      </c>
      <c r="O278">
        <f t="array" ref="O278">AVERAGE(rating!C277:'rating'!ZZ277)</f>
        <v>8</v>
      </c>
      <c r="P278">
        <f>SUM(COUNTIF(rating!C277:ZZ277, 10))</f>
        <v>0</v>
      </c>
      <c r="R278">
        <f>COUNTA(year!C277:ZZ277)</f>
        <v>1</v>
      </c>
      <c r="S278">
        <f>COUNTA(books!C277:ZZ277)</f>
        <v>1</v>
      </c>
      <c r="T278">
        <f>COUNTA(rating!C277:ZZ277)</f>
        <v>1</v>
      </c>
      <c r="U278">
        <f t="shared" si="4"/>
        <v>0</v>
      </c>
    </row>
    <row r="279" spans="8:21" x14ac:dyDescent="0.35">
      <c r="H279" s="7" t="str">
        <v>A</v>
      </c>
      <c r="J279" t="str">
        <v>L</v>
      </c>
      <c r="K279" t="str">
        <v>Ahearn</v>
      </c>
      <c r="L279" t="str">
        <v>Laura Ahearn</v>
      </c>
      <c r="M279" t="e">
        <f t="array" ref="M279">VLOOKUP(L279,books!B277,1,0)</f>
        <v>#N/A</v>
      </c>
      <c r="N279">
        <f>COUNTA(books!C278:'books'!ZZ278)</f>
        <v>1</v>
      </c>
      <c r="O279">
        <f t="array" ref="O279">AVERAGE(rating!C278:'rating'!ZZ278)</f>
        <v>9</v>
      </c>
      <c r="P279">
        <f>SUM(COUNTIF(rating!C278:ZZ278, 10))</f>
        <v>0</v>
      </c>
      <c r="R279">
        <f>COUNTA(year!C278:ZZ278)</f>
        <v>1</v>
      </c>
      <c r="S279">
        <f>COUNTA(books!C278:ZZ278)</f>
        <v>1</v>
      </c>
      <c r="T279">
        <f>COUNTA(rating!C278:ZZ278)</f>
        <v>1</v>
      </c>
      <c r="U279">
        <f t="shared" si="4"/>
        <v>0</v>
      </c>
    </row>
    <row r="280" spans="8:21" x14ac:dyDescent="0.35">
      <c r="H280" s="7" t="str">
        <v>W</v>
      </c>
      <c r="J280" t="str">
        <v>H</v>
      </c>
      <c r="K280" t="str">
        <v>Wecker</v>
      </c>
      <c r="L280" t="str">
        <v>Helene Wecker</v>
      </c>
      <c r="M280" t="e">
        <f t="array" ref="M280">VLOOKUP(L280,books!B278,1,0)</f>
        <v>#N/A</v>
      </c>
      <c r="N280">
        <f>COUNTA(books!C279:'books'!ZZ279)</f>
        <v>1</v>
      </c>
      <c r="O280">
        <f t="array" ref="O280">AVERAGE(rating!C279:'rating'!ZZ279)</f>
        <v>9</v>
      </c>
      <c r="P280">
        <f>SUM(COUNTIF(rating!C279:ZZ279, 10))</f>
        <v>0</v>
      </c>
      <c r="R280">
        <f>COUNTA(year!C279:ZZ279)</f>
        <v>1</v>
      </c>
      <c r="S280">
        <f>COUNTA(books!C279:ZZ279)</f>
        <v>1</v>
      </c>
      <c r="T280">
        <f>COUNTA(rating!C279:ZZ279)</f>
        <v>1</v>
      </c>
      <c r="U280">
        <f t="shared" si="4"/>
        <v>0</v>
      </c>
    </row>
    <row r="281" spans="8:21" x14ac:dyDescent="0.35">
      <c r="H281" s="7" t="str">
        <v>C</v>
      </c>
      <c r="J281" t="str">
        <v>L</v>
      </c>
      <c r="K281" t="str">
        <v>Cole</v>
      </c>
      <c r="L281" t="str">
        <v>Linda Chapman &amp; Steve Cole</v>
      </c>
      <c r="M281" t="e">
        <f t="array" ref="M281">VLOOKUP(L281,books!B279,1,0)</f>
        <v>#N/A</v>
      </c>
      <c r="N281">
        <f>COUNTA(books!C280:'books'!ZZ280)</f>
        <v>1</v>
      </c>
      <c r="O281">
        <f t="array" ref="O281">AVERAGE(rating!C280:'rating'!ZZ280)</f>
        <v>8</v>
      </c>
      <c r="P281">
        <f>SUM(COUNTIF(rating!C280:ZZ280, 10))</f>
        <v>0</v>
      </c>
      <c r="R281">
        <f>COUNTA(year!C280:ZZ280)</f>
        <v>1</v>
      </c>
      <c r="S281">
        <f>COUNTA(books!C280:ZZ280)</f>
        <v>1</v>
      </c>
      <c r="T281">
        <f>COUNTA(rating!C280:ZZ280)</f>
        <v>1</v>
      </c>
      <c r="U281">
        <f t="shared" si="4"/>
        <v>0</v>
      </c>
    </row>
    <row r="282" spans="8:21" x14ac:dyDescent="0.35">
      <c r="H282" s="7" t="str">
        <v>L</v>
      </c>
      <c r="J282" t="str">
        <v>D</v>
      </c>
      <c r="K282" t="str">
        <v>Lewis</v>
      </c>
      <c r="L282" t="str">
        <v>Derek Benz &amp; J.S. Lewis</v>
      </c>
      <c r="M282" t="e">
        <f t="array" ref="M282">VLOOKUP(L282,books!B280,1,0)</f>
        <v>#N/A</v>
      </c>
      <c r="N282">
        <f>COUNTA(books!C281:'books'!ZZ281)</f>
        <v>3</v>
      </c>
      <c r="O282">
        <f t="array" ref="O282">AVERAGE(rating!C281:'rating'!ZZ281)</f>
        <v>8.6666666666666661</v>
      </c>
      <c r="P282">
        <f>SUM(COUNTIF(rating!C281:ZZ281, 10))</f>
        <v>0</v>
      </c>
      <c r="R282">
        <f>COUNTA(year!C281:ZZ281)</f>
        <v>3</v>
      </c>
      <c r="S282">
        <f>COUNTA(books!C281:ZZ281)</f>
        <v>3</v>
      </c>
      <c r="T282">
        <f>COUNTA(rating!C281:ZZ281)</f>
        <v>3</v>
      </c>
      <c r="U282">
        <f t="shared" si="4"/>
        <v>0</v>
      </c>
    </row>
    <row r="283" spans="8:21" x14ac:dyDescent="0.35">
      <c r="H283" s="7" t="str">
        <v>L</v>
      </c>
      <c r="J283" t="str">
        <v>S</v>
      </c>
      <c r="K283" t="str">
        <v>Lawhead</v>
      </c>
      <c r="L283" t="str">
        <v>Stephen Lawhead</v>
      </c>
      <c r="M283" t="e">
        <f t="array" ref="M283">VLOOKUP(L283,books!B281,1,0)</f>
        <v>#N/A</v>
      </c>
      <c r="N283">
        <f>COUNTA(books!C282:'books'!ZZ282)</f>
        <v>3</v>
      </c>
      <c r="O283">
        <f t="array" ref="O283">AVERAGE(rating!C282:'rating'!ZZ282)</f>
        <v>9</v>
      </c>
      <c r="P283">
        <f>SUM(COUNTIF(rating!C282:ZZ282, 10))</f>
        <v>0</v>
      </c>
      <c r="R283">
        <f>COUNTA(year!C282:ZZ282)</f>
        <v>3</v>
      </c>
      <c r="S283">
        <f>COUNTA(books!C282:ZZ282)</f>
        <v>3</v>
      </c>
      <c r="T283">
        <f>COUNTA(rating!C282:ZZ282)</f>
        <v>3</v>
      </c>
      <c r="U283">
        <f t="shared" si="4"/>
        <v>0</v>
      </c>
    </row>
    <row r="284" spans="8:21" x14ac:dyDescent="0.35">
      <c r="H284" s="7" t="str">
        <v>H</v>
      </c>
      <c r="J284" t="str">
        <v>F</v>
      </c>
      <c r="K284" t="str">
        <v>Hardinge</v>
      </c>
      <c r="L284" t="str">
        <v>Frances Hardinge</v>
      </c>
      <c r="M284" t="e">
        <f t="array" ref="M284">VLOOKUP(L284,books!B282,1,0)</f>
        <v>#N/A</v>
      </c>
      <c r="N284">
        <f>COUNTA(books!C283:'books'!ZZ283)</f>
        <v>1</v>
      </c>
      <c r="O284">
        <f t="array" ref="O284">AVERAGE(rating!C283:'rating'!ZZ283)</f>
        <v>9</v>
      </c>
      <c r="P284">
        <f>SUM(COUNTIF(rating!C283:ZZ283, 10))</f>
        <v>0</v>
      </c>
      <c r="R284">
        <f>COUNTA(year!C283:ZZ283)</f>
        <v>1</v>
      </c>
      <c r="S284">
        <f>COUNTA(books!C283:ZZ283)</f>
        <v>1</v>
      </c>
      <c r="T284">
        <f>COUNTA(rating!C283:ZZ283)</f>
        <v>1</v>
      </c>
      <c r="U284">
        <f t="shared" si="4"/>
        <v>0</v>
      </c>
    </row>
    <row r="285" spans="8:21" x14ac:dyDescent="0.35">
      <c r="H285" s="7" t="str">
        <v>F</v>
      </c>
      <c r="J285" t="str">
        <v>M</v>
      </c>
      <c r="K285" t="str">
        <v>Frost</v>
      </c>
      <c r="L285" t="str">
        <v>Mark Frost</v>
      </c>
      <c r="M285" t="e">
        <f t="array" ref="M285">VLOOKUP(L285,books!B283,1,0)</f>
        <v>#N/A</v>
      </c>
      <c r="N285">
        <f>COUNTA(books!C284:'books'!ZZ284)</f>
        <v>3</v>
      </c>
      <c r="O285">
        <f t="array" ref="O285">AVERAGE(rating!C284:'rating'!ZZ284)</f>
        <v>8.3333333333333339</v>
      </c>
      <c r="P285">
        <f>SUM(COUNTIF(rating!C284:ZZ284, 10))</f>
        <v>0</v>
      </c>
      <c r="R285">
        <f>COUNTA(year!C284:ZZ284)</f>
        <v>3</v>
      </c>
      <c r="S285">
        <f>COUNTA(books!C284:ZZ284)</f>
        <v>3</v>
      </c>
      <c r="T285">
        <f>COUNTA(rating!C284:ZZ284)</f>
        <v>3</v>
      </c>
      <c r="U285">
        <f t="shared" si="4"/>
        <v>0</v>
      </c>
    </row>
    <row r="286" spans="8:21" x14ac:dyDescent="0.35">
      <c r="H286" s="7" t="str">
        <v>F</v>
      </c>
      <c r="J286" t="str">
        <v>P</v>
      </c>
      <c r="K286" t="str">
        <v>Freeman</v>
      </c>
      <c r="L286" t="str">
        <v>Philip Freeman</v>
      </c>
      <c r="M286" t="e">
        <f t="array" ref="M286">VLOOKUP(L286,books!B284,1,0)</f>
        <v>#N/A</v>
      </c>
      <c r="N286">
        <f>COUNTA(books!C285:'books'!ZZ285)</f>
        <v>1</v>
      </c>
      <c r="O286">
        <f t="array" ref="O286">AVERAGE(rating!C285:'rating'!ZZ285)</f>
        <v>7</v>
      </c>
      <c r="P286">
        <f>SUM(COUNTIF(rating!C285:ZZ285, 10))</f>
        <v>0</v>
      </c>
      <c r="R286">
        <f>COUNTA(year!C285:ZZ285)</f>
        <v>1</v>
      </c>
      <c r="S286">
        <f>COUNTA(books!C285:ZZ285)</f>
        <v>1</v>
      </c>
      <c r="T286">
        <f>COUNTA(rating!C285:ZZ285)</f>
        <v>1</v>
      </c>
      <c r="U286">
        <f t="shared" si="4"/>
        <v>0</v>
      </c>
    </row>
    <row r="287" spans="8:21" x14ac:dyDescent="0.35">
      <c r="H287" s="7" t="str">
        <v>O</v>
      </c>
      <c r="J287" t="str">
        <v>K</v>
      </c>
      <c r="K287" t="str">
        <v>Oppel</v>
      </c>
      <c r="L287" t="str">
        <v>Kenneth Oppel</v>
      </c>
      <c r="M287" t="e">
        <f t="array" ref="M287">VLOOKUP(L287,books!B285,1,0)</f>
        <v>#N/A</v>
      </c>
      <c r="N287">
        <f>COUNTA(books!C286:'books'!ZZ286)</f>
        <v>7</v>
      </c>
      <c r="O287">
        <f t="array" ref="O287">AVERAGE(rating!C286:'rating'!ZZ286)</f>
        <v>9.2857142857142865</v>
      </c>
      <c r="P287">
        <f>SUM(COUNTIF(rating!C286:ZZ286, 10))</f>
        <v>2</v>
      </c>
      <c r="R287">
        <f>COUNTA(year!C286:ZZ286)</f>
        <v>7</v>
      </c>
      <c r="S287">
        <f>COUNTA(books!C286:ZZ286)</f>
        <v>7</v>
      </c>
      <c r="T287">
        <f>COUNTA(rating!C286:ZZ286)</f>
        <v>7</v>
      </c>
      <c r="U287">
        <f t="shared" si="4"/>
        <v>0</v>
      </c>
    </row>
    <row r="288" spans="8:21" x14ac:dyDescent="0.35">
      <c r="H288" s="7" t="str">
        <v>S</v>
      </c>
      <c r="J288" t="str">
        <v>J</v>
      </c>
      <c r="K288" t="str">
        <v>Stone</v>
      </c>
      <c r="L288" t="str">
        <v>Jeff Stone</v>
      </c>
      <c r="M288" t="e">
        <f t="array" ref="M288">VLOOKUP(L288,books!B286,1,0)</f>
        <v>#N/A</v>
      </c>
      <c r="N288">
        <f>COUNTA(books!C287:'books'!ZZ287)</f>
        <v>6</v>
      </c>
      <c r="O288">
        <f t="array" ref="O288">AVERAGE(rating!C287:'rating'!ZZ287)</f>
        <v>8.5</v>
      </c>
      <c r="P288">
        <f>SUM(COUNTIF(rating!C287:ZZ287, 10))</f>
        <v>0</v>
      </c>
      <c r="R288">
        <f>COUNTA(year!C287:ZZ287)</f>
        <v>6</v>
      </c>
      <c r="S288">
        <f>COUNTA(books!C287:ZZ287)</f>
        <v>6</v>
      </c>
      <c r="T288">
        <f>COUNTA(rating!C287:ZZ287)</f>
        <v>6</v>
      </c>
      <c r="U288">
        <f t="shared" si="4"/>
        <v>0</v>
      </c>
    </row>
    <row r="289" spans="8:21" x14ac:dyDescent="0.35">
      <c r="H289" s="7" t="str">
        <v>S</v>
      </c>
      <c r="J289" t="str">
        <v>J</v>
      </c>
      <c r="K289" t="str">
        <v>Stroud</v>
      </c>
      <c r="L289" t="str">
        <v>Jonathan Stroud</v>
      </c>
      <c r="M289" t="e">
        <f t="array" ref="M289">VLOOKUP(L289,books!B287,1,0)</f>
        <v>#N/A</v>
      </c>
      <c r="N289">
        <f>COUNTA(books!C288:'books'!ZZ288)</f>
        <v>3</v>
      </c>
      <c r="O289">
        <f t="array" ref="O289">AVERAGE(rating!C288:'rating'!ZZ288)</f>
        <v>10</v>
      </c>
      <c r="P289">
        <f>SUM(COUNTIF(rating!C288:ZZ288, 10))</f>
        <v>3</v>
      </c>
      <c r="R289">
        <f>COUNTA(year!C288:ZZ288)</f>
        <v>3</v>
      </c>
      <c r="S289">
        <f>COUNTA(books!C288:ZZ288)</f>
        <v>3</v>
      </c>
      <c r="T289">
        <f>COUNTA(rating!C288:ZZ288)</f>
        <v>3</v>
      </c>
      <c r="U289">
        <f t="shared" si="4"/>
        <v>0</v>
      </c>
    </row>
    <row r="290" spans="8:21" x14ac:dyDescent="0.35">
      <c r="H290" s="7" t="str">
        <v>P</v>
      </c>
      <c r="J290" t="str">
        <v>H</v>
      </c>
      <c r="K290" t="str">
        <v>Pyle</v>
      </c>
      <c r="L290" t="str">
        <v>Howard Pyle</v>
      </c>
      <c r="M290" t="e">
        <f t="array" ref="M290">VLOOKUP(L290,books!B288,1,0)</f>
        <v>#N/A</v>
      </c>
      <c r="N290">
        <f>COUNTA(books!C289:'books'!ZZ289)</f>
        <v>1</v>
      </c>
      <c r="O290">
        <f t="array" ref="O290">AVERAGE(rating!C289:'rating'!ZZ289)</f>
        <v>9</v>
      </c>
      <c r="P290">
        <f>SUM(COUNTIF(rating!C289:ZZ289, 10))</f>
        <v>0</v>
      </c>
      <c r="R290">
        <f>COUNTA(year!C289:ZZ289)</f>
        <v>1</v>
      </c>
      <c r="S290">
        <f>COUNTA(books!C289:ZZ289)</f>
        <v>1</v>
      </c>
      <c r="T290">
        <f>COUNTA(rating!C289:ZZ289)</f>
        <v>1</v>
      </c>
      <c r="U290">
        <f t="shared" si="4"/>
        <v>0</v>
      </c>
    </row>
    <row r="291" spans="8:21" x14ac:dyDescent="0.35">
      <c r="H291" s="7" t="str">
        <v>M</v>
      </c>
      <c r="J291" t="str">
        <v>A</v>
      </c>
      <c r="K291" t="str">
        <v>Monaghan</v>
      </c>
      <c r="L291" t="str">
        <v>Annabel Monaghan</v>
      </c>
      <c r="M291" t="e">
        <f t="array" ref="M291">VLOOKUP(L291,books!B289,1,0)</f>
        <v>#N/A</v>
      </c>
      <c r="N291">
        <f>COUNTA(books!C290:'books'!ZZ290)</f>
        <v>1</v>
      </c>
      <c r="O291">
        <f t="array" ref="O291">AVERAGE(rating!C290:'rating'!ZZ290)</f>
        <v>7</v>
      </c>
      <c r="P291">
        <f>SUM(COUNTIF(rating!C290:ZZ290, 10))</f>
        <v>0</v>
      </c>
      <c r="R291">
        <f>COUNTA(year!C290:ZZ290)</f>
        <v>1</v>
      </c>
      <c r="S291">
        <f>COUNTA(books!C290:ZZ290)</f>
        <v>1</v>
      </c>
      <c r="T291">
        <f>COUNTA(rating!C290:ZZ290)</f>
        <v>1</v>
      </c>
      <c r="U291">
        <f t="shared" si="4"/>
        <v>0</v>
      </c>
    </row>
    <row r="292" spans="8:21" x14ac:dyDescent="0.35">
      <c r="H292" s="7" t="str">
        <v>G</v>
      </c>
      <c r="J292" t="str">
        <v>W</v>
      </c>
      <c r="K292" t="str">
        <v>Groom</v>
      </c>
      <c r="L292" t="str">
        <v>Winston Groom</v>
      </c>
      <c r="M292" t="e">
        <f t="array" ref="M292">VLOOKUP(L292,books!B290,1,0)</f>
        <v>#N/A</v>
      </c>
      <c r="N292">
        <f>COUNTA(books!C291:'books'!ZZ291)</f>
        <v>1</v>
      </c>
      <c r="O292">
        <f t="array" ref="O292">AVERAGE(rating!C291:'rating'!ZZ291)</f>
        <v>10</v>
      </c>
      <c r="P292">
        <f>SUM(COUNTIF(rating!C291:ZZ291, 10))</f>
        <v>1</v>
      </c>
      <c r="R292">
        <f>COUNTA(year!C291:ZZ291)</f>
        <v>1</v>
      </c>
      <c r="S292">
        <f>COUNTA(books!C291:ZZ291)</f>
        <v>1</v>
      </c>
      <c r="T292">
        <f>COUNTA(rating!C291:ZZ291)</f>
        <v>1</v>
      </c>
      <c r="U292">
        <f t="shared" si="4"/>
        <v>0</v>
      </c>
    </row>
    <row r="293" spans="8:21" x14ac:dyDescent="0.35">
      <c r="H293" s="7" t="str">
        <v>K</v>
      </c>
      <c r="J293" t="str">
        <v>L</v>
      </c>
      <c r="K293" t="str">
        <v>Kessler</v>
      </c>
      <c r="L293" t="str">
        <v>Liz Kessler</v>
      </c>
      <c r="M293" t="e">
        <f t="array" ref="M293">VLOOKUP(L293,books!B291,1,0)</f>
        <v>#N/A</v>
      </c>
      <c r="N293">
        <f>COUNTA(books!C292:'books'!ZZ292)</f>
        <v>3</v>
      </c>
      <c r="O293">
        <f t="array" ref="O293">AVERAGE(rating!C292:'rating'!ZZ292)</f>
        <v>7.666666666666667</v>
      </c>
      <c r="P293">
        <f>SUM(COUNTIF(rating!C292:ZZ292, 10))</f>
        <v>0</v>
      </c>
      <c r="R293">
        <f>COUNTA(year!C292:ZZ292)</f>
        <v>3</v>
      </c>
      <c r="S293">
        <f>COUNTA(books!C292:ZZ292)</f>
        <v>3</v>
      </c>
      <c r="T293">
        <f>COUNTA(rating!C292:ZZ292)</f>
        <v>3</v>
      </c>
      <c r="U293">
        <f t="shared" si="4"/>
        <v>0</v>
      </c>
    </row>
    <row r="294" spans="8:21" x14ac:dyDescent="0.35">
      <c r="H294" s="7" t="str">
        <v>P</v>
      </c>
      <c r="J294" t="str">
        <v>S</v>
      </c>
      <c r="K294" t="str">
        <v>Prineas</v>
      </c>
      <c r="L294" t="str">
        <v>Sarah Prineas</v>
      </c>
      <c r="M294" t="e">
        <f t="array" ref="M294">VLOOKUP(L294,books!B292,1,0)</f>
        <v>#N/A</v>
      </c>
      <c r="N294">
        <f>COUNTA(books!C293:'books'!ZZ293)</f>
        <v>3</v>
      </c>
      <c r="O294">
        <f t="array" ref="O294">AVERAGE(rating!C293:'rating'!ZZ293)</f>
        <v>8</v>
      </c>
      <c r="P294">
        <f>SUM(COUNTIF(rating!C293:ZZ293, 10))</f>
        <v>0</v>
      </c>
      <c r="R294">
        <f>COUNTA(year!C293:ZZ293)</f>
        <v>3</v>
      </c>
      <c r="S294">
        <f>COUNTA(books!C293:ZZ293)</f>
        <v>3</v>
      </c>
      <c r="T294">
        <f>COUNTA(rating!C293:ZZ293)</f>
        <v>3</v>
      </c>
      <c r="U294">
        <f t="shared" si="4"/>
        <v>0</v>
      </c>
    </row>
    <row r="295" spans="8:21" x14ac:dyDescent="0.35">
      <c r="H295" s="7" t="str">
        <v>P</v>
      </c>
      <c r="J295" t="str">
        <v>D</v>
      </c>
      <c r="K295" t="str">
        <v>Pelzer</v>
      </c>
      <c r="L295" t="str">
        <v>Dave Pelzer</v>
      </c>
      <c r="M295" t="e">
        <f t="array" ref="M295">VLOOKUP(L295,books!B293,1,0)</f>
        <v>#N/A</v>
      </c>
      <c r="N295">
        <f>COUNTA(books!C294:'books'!ZZ294)</f>
        <v>1</v>
      </c>
      <c r="O295">
        <f t="array" ref="O295">AVERAGE(rating!C294:'rating'!ZZ294)</f>
        <v>10</v>
      </c>
      <c r="P295">
        <f>SUM(COUNTIF(rating!C294:ZZ294, 10))</f>
        <v>1</v>
      </c>
      <c r="R295">
        <f>COUNTA(year!C294:ZZ294)</f>
        <v>1</v>
      </c>
      <c r="S295">
        <f>COUNTA(books!C294:ZZ294)</f>
        <v>1</v>
      </c>
      <c r="T295">
        <f>COUNTA(rating!C294:ZZ294)</f>
        <v>1</v>
      </c>
      <c r="U295">
        <f t="shared" si="4"/>
        <v>0</v>
      </c>
    </row>
    <row r="296" spans="8:21" x14ac:dyDescent="0.35">
      <c r="H296" s="7" t="str">
        <v>N</v>
      </c>
      <c r="J296" t="str">
        <v>L</v>
      </c>
      <c r="K296" t="str">
        <v>Newman</v>
      </c>
      <c r="L296" t="str">
        <v>Leslea Newman</v>
      </c>
      <c r="M296" t="e">
        <f t="array" ref="M296">VLOOKUP(L296,books!B294,1,0)</f>
        <v>#N/A</v>
      </c>
      <c r="N296">
        <f>COUNTA(books!C295:'books'!ZZ295)</f>
        <v>1</v>
      </c>
      <c r="O296">
        <f t="array" ref="O296">AVERAGE(rating!C295:'rating'!ZZ295)</f>
        <v>8</v>
      </c>
      <c r="P296">
        <f>SUM(COUNTIF(rating!C295:ZZ295, 10))</f>
        <v>0</v>
      </c>
      <c r="R296">
        <f>COUNTA(year!C295:ZZ295)</f>
        <v>1</v>
      </c>
      <c r="S296">
        <f>COUNTA(books!C295:ZZ295)</f>
        <v>1</v>
      </c>
      <c r="T296">
        <f>COUNTA(rating!C295:ZZ295)</f>
        <v>1</v>
      </c>
      <c r="U296">
        <f t="shared" si="4"/>
        <v>0</v>
      </c>
    </row>
    <row r="297" spans="8:21" x14ac:dyDescent="0.35">
      <c r="H297" s="7" t="str">
        <v>M</v>
      </c>
      <c r="J297" t="str">
        <v>D</v>
      </c>
      <c r="K297" t="str">
        <v>Mukerji</v>
      </c>
      <c r="L297" t="str">
        <v>Dhan Mukerji</v>
      </c>
      <c r="M297" t="e">
        <f t="array" ref="M297">VLOOKUP(L297,books!B295,1,0)</f>
        <v>#N/A</v>
      </c>
      <c r="N297">
        <f>COUNTA(books!C296:'books'!ZZ296)</f>
        <v>1</v>
      </c>
      <c r="O297">
        <f t="array" ref="O297">AVERAGE(rating!C296:'rating'!ZZ296)</f>
        <v>7</v>
      </c>
      <c r="P297">
        <f>SUM(COUNTIF(rating!C296:ZZ296, 10))</f>
        <v>0</v>
      </c>
      <c r="R297">
        <f>COUNTA(year!C296:ZZ296)</f>
        <v>1</v>
      </c>
      <c r="S297">
        <f>COUNTA(books!C296:ZZ296)</f>
        <v>1</v>
      </c>
      <c r="T297">
        <f>COUNTA(rating!C296:ZZ296)</f>
        <v>1</v>
      </c>
      <c r="U297">
        <f t="shared" si="4"/>
        <v>0</v>
      </c>
    </row>
    <row r="298" spans="8:21" x14ac:dyDescent="0.35">
      <c r="H298" s="7" t="str">
        <v>N</v>
      </c>
      <c r="J298" t="str">
        <v>P</v>
      </c>
      <c r="K298" t="str">
        <v>Naylor</v>
      </c>
      <c r="L298" t="str">
        <v>Phyllis Naylor</v>
      </c>
      <c r="M298" t="e">
        <f t="array" ref="M298">VLOOKUP(L298,books!B296,1,0)</f>
        <v>#N/A</v>
      </c>
      <c r="N298">
        <f>COUNTA(books!C297:'books'!ZZ297)</f>
        <v>3</v>
      </c>
      <c r="O298">
        <f t="array" ref="O298">AVERAGE(rating!C297:'rating'!ZZ297)</f>
        <v>7.666666666666667</v>
      </c>
      <c r="P298">
        <f>SUM(COUNTIF(rating!C297:ZZ297, 10))</f>
        <v>0</v>
      </c>
      <c r="R298">
        <f>COUNTA(year!C297:ZZ297)</f>
        <v>3</v>
      </c>
      <c r="S298">
        <f>COUNTA(books!C297:ZZ297)</f>
        <v>3</v>
      </c>
      <c r="T298">
        <f>COUNTA(rating!C297:ZZ297)</f>
        <v>3</v>
      </c>
      <c r="U298">
        <f t="shared" si="4"/>
        <v>0</v>
      </c>
    </row>
    <row r="299" spans="8:21" x14ac:dyDescent="0.35">
      <c r="H299" s="7" t="str">
        <v>K</v>
      </c>
      <c r="J299" t="str">
        <v>P</v>
      </c>
      <c r="K299" t="str">
        <v>Kerr</v>
      </c>
      <c r="L299" t="str">
        <v>P.B. Kerr</v>
      </c>
      <c r="M299" t="e">
        <f t="array" ref="M299">VLOOKUP(L299,books!B297,1,0)</f>
        <v>#N/A</v>
      </c>
      <c r="N299">
        <f>COUNTA(books!C298:'books'!ZZ298)</f>
        <v>6</v>
      </c>
      <c r="O299">
        <f t="array" ref="O299">AVERAGE(rating!C298:'rating'!ZZ298)</f>
        <v>9</v>
      </c>
      <c r="P299">
        <f>SUM(COUNTIF(rating!C298:ZZ298, 10))</f>
        <v>0</v>
      </c>
      <c r="R299">
        <f>COUNTA(year!C298:ZZ298)</f>
        <v>6</v>
      </c>
      <c r="S299">
        <f>COUNTA(books!C298:ZZ298)</f>
        <v>6</v>
      </c>
      <c r="T299">
        <f>COUNTA(rating!C298:ZZ298)</f>
        <v>6</v>
      </c>
      <c r="U299">
        <f t="shared" si="4"/>
        <v>0</v>
      </c>
    </row>
    <row r="300" spans="8:21" x14ac:dyDescent="0.35">
      <c r="H300" s="7" t="str">
        <v>H</v>
      </c>
      <c r="J300" t="str">
        <v>K</v>
      </c>
      <c r="K300" t="str">
        <v>Hannigan</v>
      </c>
      <c r="L300" t="str">
        <v>Katherine Hannigan</v>
      </c>
      <c r="M300" t="e">
        <f t="array" ref="M300">VLOOKUP(L300,books!B298,1,0)</f>
        <v>#N/A</v>
      </c>
      <c r="N300">
        <f>COUNTA(books!C299:'books'!ZZ299)</f>
        <v>1</v>
      </c>
      <c r="O300">
        <f t="array" ref="O300">AVERAGE(rating!C299:'rating'!ZZ299)</f>
        <v>7</v>
      </c>
      <c r="P300">
        <f>SUM(COUNTIF(rating!C299:ZZ299, 10))</f>
        <v>0</v>
      </c>
      <c r="R300">
        <f>COUNTA(year!C299:ZZ299)</f>
        <v>1</v>
      </c>
      <c r="S300">
        <f>COUNTA(books!C299:ZZ299)</f>
        <v>1</v>
      </c>
      <c r="T300">
        <f>COUNTA(rating!C299:ZZ299)</f>
        <v>1</v>
      </c>
      <c r="U300">
        <f t="shared" si="4"/>
        <v>0</v>
      </c>
    </row>
    <row r="301" spans="8:21" x14ac:dyDescent="0.35">
      <c r="H301" s="7" t="str">
        <v>F</v>
      </c>
      <c r="J301" t="str">
        <v>N</v>
      </c>
      <c r="K301" t="str">
        <v>Fan</v>
      </c>
      <c r="L301" t="str">
        <v>Nancy Fan</v>
      </c>
      <c r="M301" t="e">
        <f t="array" ref="M301">VLOOKUP(L301,books!B299,1,0)</f>
        <v>#N/A</v>
      </c>
      <c r="N301">
        <f>COUNTA(books!C300:'books'!ZZ300)</f>
        <v>2</v>
      </c>
      <c r="O301">
        <f t="array" ref="O301">AVERAGE(rating!C300:'rating'!ZZ300)</f>
        <v>7.5</v>
      </c>
      <c r="P301">
        <f>SUM(COUNTIF(rating!C300:ZZ300, 10))</f>
        <v>0</v>
      </c>
      <c r="R301">
        <f>COUNTA(year!C300:ZZ300)</f>
        <v>2</v>
      </c>
      <c r="S301">
        <f>COUNTA(books!C300:ZZ300)</f>
        <v>2</v>
      </c>
      <c r="T301">
        <f>COUNTA(rating!C300:ZZ300)</f>
        <v>2</v>
      </c>
      <c r="U301">
        <f t="shared" si="4"/>
        <v>0</v>
      </c>
    </row>
    <row r="302" spans="8:21" x14ac:dyDescent="0.35">
      <c r="H302" s="7" t="str">
        <v>B</v>
      </c>
      <c r="J302" t="str">
        <v>J</v>
      </c>
      <c r="K302" t="str">
        <v>Blume</v>
      </c>
      <c r="L302" t="str">
        <v>Judy Blume</v>
      </c>
      <c r="M302" t="e">
        <f t="array" ref="M302">VLOOKUP(L302,books!B300,1,0)</f>
        <v>#N/A</v>
      </c>
      <c r="N302">
        <f>COUNTA(books!C301:'books'!ZZ301)</f>
        <v>7</v>
      </c>
      <c r="O302">
        <f t="array" ref="O302">AVERAGE(rating!C301:'rating'!ZZ301)</f>
        <v>8</v>
      </c>
      <c r="P302">
        <f>SUM(COUNTIF(rating!C301:ZZ301, 10))</f>
        <v>0</v>
      </c>
      <c r="R302">
        <f>COUNTA(year!C301:ZZ301)</f>
        <v>7</v>
      </c>
      <c r="S302">
        <f>COUNTA(books!C301:ZZ301)</f>
        <v>7</v>
      </c>
      <c r="T302">
        <f>COUNTA(rating!C301:ZZ301)</f>
        <v>7</v>
      </c>
      <c r="U302">
        <f t="shared" si="4"/>
        <v>0</v>
      </c>
    </row>
    <row r="303" spans="8:21" x14ac:dyDescent="0.35">
      <c r="H303" s="7" t="str">
        <v>B</v>
      </c>
      <c r="J303" t="str">
        <v>J</v>
      </c>
      <c r="K303" t="str">
        <v>Birdsall</v>
      </c>
      <c r="L303" t="str">
        <v>Jeanne Birdsall</v>
      </c>
      <c r="M303" t="e">
        <f t="array" ref="M303">VLOOKUP(L303,books!B301,1,0)</f>
        <v>#N/A</v>
      </c>
      <c r="N303">
        <f>COUNTA(books!C302:'books'!ZZ302)</f>
        <v>1</v>
      </c>
      <c r="O303">
        <f t="array" ref="O303">AVERAGE(rating!C302:'rating'!ZZ302)</f>
        <v>8</v>
      </c>
      <c r="P303">
        <f>SUM(COUNTIF(rating!C302:ZZ302, 10))</f>
        <v>0</v>
      </c>
      <c r="R303">
        <f>COUNTA(year!C302:ZZ302)</f>
        <v>1</v>
      </c>
      <c r="S303">
        <f>COUNTA(books!C302:ZZ302)</f>
        <v>1</v>
      </c>
      <c r="T303">
        <f>COUNTA(rating!C302:ZZ302)</f>
        <v>1</v>
      </c>
      <c r="U303">
        <f t="shared" si="4"/>
        <v>0</v>
      </c>
    </row>
    <row r="304" spans="8:21" x14ac:dyDescent="0.35">
      <c r="H304" s="7" t="str">
        <v>W</v>
      </c>
      <c r="J304" t="str">
        <v>J</v>
      </c>
      <c r="K304" t="str">
        <v>Wood</v>
      </c>
      <c r="L304" t="str">
        <v>June Wood</v>
      </c>
      <c r="M304" t="e">
        <f t="array" ref="M304">VLOOKUP(L304,books!B302,1,0)</f>
        <v>#N/A</v>
      </c>
      <c r="N304">
        <f>COUNTA(books!C303:'books'!ZZ303)</f>
        <v>1</v>
      </c>
      <c r="O304">
        <f t="array" ref="O304">AVERAGE(rating!C303:'rating'!ZZ303)</f>
        <v>7</v>
      </c>
      <c r="P304">
        <f>SUM(COUNTIF(rating!C303:ZZ303, 10))</f>
        <v>0</v>
      </c>
      <c r="R304">
        <f>COUNTA(year!C303:ZZ303)</f>
        <v>1</v>
      </c>
      <c r="S304">
        <f>COUNTA(books!C303:ZZ303)</f>
        <v>1</v>
      </c>
      <c r="T304">
        <f>COUNTA(rating!C303:ZZ303)</f>
        <v>1</v>
      </c>
      <c r="U304">
        <f t="shared" si="4"/>
        <v>0</v>
      </c>
    </row>
    <row r="305" spans="8:21" x14ac:dyDescent="0.35">
      <c r="H305" s="7" t="str">
        <v>P</v>
      </c>
      <c r="J305" t="str">
        <v>R</v>
      </c>
      <c r="K305" t="str">
        <v>Peck </v>
      </c>
      <c r="L305" t="str">
        <v>Robert Peck </v>
      </c>
      <c r="M305" t="e">
        <f t="array" ref="M305">VLOOKUP(L305,books!B303,1,0)</f>
        <v>#N/A</v>
      </c>
      <c r="N305">
        <f>COUNTA(books!C304:'books'!ZZ304)</f>
        <v>1</v>
      </c>
      <c r="O305">
        <f t="array" ref="O305">AVERAGE(rating!C304:'rating'!ZZ304)</f>
        <v>10</v>
      </c>
      <c r="P305">
        <f>SUM(COUNTIF(rating!C304:ZZ304, 10))</f>
        <v>1</v>
      </c>
      <c r="R305">
        <f>COUNTA(year!C304:ZZ304)</f>
        <v>1</v>
      </c>
      <c r="S305">
        <f>COUNTA(books!C304:ZZ304)</f>
        <v>1</v>
      </c>
      <c r="T305">
        <f>COUNTA(rating!C304:ZZ304)</f>
        <v>1</v>
      </c>
      <c r="U305">
        <f t="shared" si="4"/>
        <v>0</v>
      </c>
    </row>
    <row r="306" spans="8:21" x14ac:dyDescent="0.35">
      <c r="H306" s="7" t="str">
        <v>Z</v>
      </c>
      <c r="J306" t="str">
        <v>T</v>
      </c>
      <c r="K306" t="str">
        <v>Zimmer</v>
      </c>
      <c r="L306" t="str">
        <v>Tracie Zimmer</v>
      </c>
      <c r="M306" t="e">
        <f t="array" ref="M306">VLOOKUP(L306,books!B304,1,0)</f>
        <v>#N/A</v>
      </c>
      <c r="N306">
        <f>COUNTA(books!C305:'books'!ZZ305)</f>
        <v>1</v>
      </c>
      <c r="O306">
        <f t="array" ref="O306">AVERAGE(rating!C305:'rating'!ZZ305)</f>
        <v>8</v>
      </c>
      <c r="P306">
        <f>SUM(COUNTIF(rating!C305:ZZ305, 10))</f>
        <v>0</v>
      </c>
      <c r="R306">
        <f>COUNTA(year!C305:ZZ305)</f>
        <v>1</v>
      </c>
      <c r="S306">
        <f>COUNTA(books!C305:ZZ305)</f>
        <v>1</v>
      </c>
      <c r="T306">
        <f>COUNTA(rating!C305:ZZ305)</f>
        <v>1</v>
      </c>
      <c r="U306">
        <f t="shared" si="4"/>
        <v>0</v>
      </c>
    </row>
    <row r="307" spans="8:21" x14ac:dyDescent="0.35">
      <c r="H307" s="7" t="str">
        <v>W</v>
      </c>
      <c r="J307" t="str">
        <v>C</v>
      </c>
      <c r="K307" t="str">
        <v>Wilkins</v>
      </c>
      <c r="L307" t="str">
        <v>Celia Wilkins</v>
      </c>
      <c r="M307" t="e">
        <f t="array" ref="M307">VLOOKUP(L307,books!B305,1,0)</f>
        <v>#N/A</v>
      </c>
      <c r="N307">
        <f>COUNTA(books!C306:'books'!ZZ306)</f>
        <v>2</v>
      </c>
      <c r="O307">
        <f t="array" ref="O307">AVERAGE(rating!C306:'rating'!ZZ306)</f>
        <v>8</v>
      </c>
      <c r="P307">
        <f>SUM(COUNTIF(rating!C306:ZZ306, 10))</f>
        <v>0</v>
      </c>
      <c r="R307">
        <f>COUNTA(year!C306:ZZ306)</f>
        <v>2</v>
      </c>
      <c r="S307">
        <f>COUNTA(books!C306:ZZ306)</f>
        <v>2</v>
      </c>
      <c r="T307">
        <f>COUNTA(rating!C306:ZZ306)</f>
        <v>2</v>
      </c>
      <c r="U307">
        <f t="shared" si="4"/>
        <v>0</v>
      </c>
    </row>
    <row r="308" spans="8:21" x14ac:dyDescent="0.35">
      <c r="H308" s="7" t="str">
        <v>W</v>
      </c>
      <c r="J308" t="str">
        <v>G</v>
      </c>
      <c r="K308" t="str">
        <v>Warner</v>
      </c>
      <c r="L308" t="str">
        <v>Gertrude Warner</v>
      </c>
      <c r="M308" t="e">
        <f t="array" ref="M308">VLOOKUP(L308,books!B306,1,0)</f>
        <v>#N/A</v>
      </c>
      <c r="N308">
        <f>COUNTA(books!C307:'books'!ZZ307)</f>
        <v>59</v>
      </c>
      <c r="O308">
        <f t="array" ref="O308">AVERAGE(rating!C307:'rating'!ZZ307)</f>
        <v>8.0677966101694913</v>
      </c>
      <c r="P308">
        <f>SUM(COUNTIF(rating!C307:ZZ307, 10))</f>
        <v>3</v>
      </c>
      <c r="R308">
        <f>COUNTA(year!C307:ZZ307)</f>
        <v>59</v>
      </c>
      <c r="S308">
        <f>COUNTA(books!C307:ZZ307)</f>
        <v>59</v>
      </c>
      <c r="T308">
        <f>COUNTA(rating!C307:ZZ307)</f>
        <v>59</v>
      </c>
      <c r="U308">
        <f t="shared" si="4"/>
        <v>0</v>
      </c>
    </row>
    <row r="309" spans="8:21" x14ac:dyDescent="0.35">
      <c r="H309" s="7" t="str">
        <v>H</v>
      </c>
      <c r="J309" t="str">
        <v>E</v>
      </c>
      <c r="K309" t="str">
        <v>Hunter</v>
      </c>
      <c r="L309" t="str">
        <v>Erin Hunter</v>
      </c>
      <c r="M309" t="e">
        <f t="array" ref="M309">VLOOKUP(L309,books!B307,1,0)</f>
        <v>#N/A</v>
      </c>
      <c r="N309">
        <f>COUNTA(books!C308:'books'!ZZ308)</f>
        <v>34</v>
      </c>
      <c r="O309">
        <f t="array" ref="O309">AVERAGE(rating!C308:'rating'!ZZ308)</f>
        <v>8</v>
      </c>
      <c r="P309">
        <f>SUM(COUNTIF(rating!C308:ZZ308, 10))</f>
        <v>3</v>
      </c>
      <c r="R309">
        <f>COUNTA(year!C308:ZZ308)</f>
        <v>34</v>
      </c>
      <c r="S309">
        <f>COUNTA(books!C308:ZZ308)</f>
        <v>34</v>
      </c>
      <c r="T309">
        <f>COUNTA(rating!C308:ZZ308)</f>
        <v>34</v>
      </c>
      <c r="U309">
        <f t="shared" si="4"/>
        <v>0</v>
      </c>
    </row>
    <row r="310" spans="8:21" x14ac:dyDescent="0.35">
      <c r="H310" s="7" t="str">
        <v>K</v>
      </c>
      <c r="J310" t="str">
        <v>K</v>
      </c>
      <c r="K310" t="str">
        <v>Kwan</v>
      </c>
      <c r="L310" t="str">
        <v>Kevin Kwan</v>
      </c>
      <c r="M310" t="e">
        <f t="array" ref="M310">VLOOKUP(L310,books!B308,1,0)</f>
        <v>#N/A</v>
      </c>
      <c r="N310">
        <f>COUNTA(books!C309:'books'!ZZ309)</f>
        <v>3</v>
      </c>
      <c r="O310">
        <f t="array" ref="O310">AVERAGE(rating!C309:'rating'!ZZ309)</f>
        <v>9</v>
      </c>
      <c r="P310">
        <f>SUM(COUNTIF(rating!C309:ZZ309, 10))</f>
        <v>0</v>
      </c>
      <c r="R310">
        <f>COUNTA(year!C309:ZZ309)</f>
        <v>3</v>
      </c>
      <c r="S310">
        <f>COUNTA(books!C309:ZZ309)</f>
        <v>3</v>
      </c>
      <c r="T310">
        <f>COUNTA(rating!C309:ZZ309)</f>
        <v>3</v>
      </c>
      <c r="U310">
        <f t="shared" si="4"/>
        <v>0</v>
      </c>
    </row>
    <row r="311" spans="8:21" x14ac:dyDescent="0.35">
      <c r="H311" s="7" t="str">
        <v>C</v>
      </c>
      <c r="J311" t="str">
        <v>R</v>
      </c>
      <c r="K311" t="str">
        <v>Chernow</v>
      </c>
      <c r="L311" t="str">
        <v>Ron Chernow</v>
      </c>
      <c r="M311" t="e">
        <f t="array" ref="M311">VLOOKUP(L311,books!B309,1,0)</f>
        <v>#N/A</v>
      </c>
      <c r="N311">
        <f>COUNTA(books!C310:'books'!ZZ310)</f>
        <v>2</v>
      </c>
      <c r="O311">
        <f t="array" ref="O311">AVERAGE(rating!C310:'rating'!ZZ310)</f>
        <v>10</v>
      </c>
      <c r="P311">
        <f>SUM(COUNTIF(rating!C310:ZZ310, 10))</f>
        <v>2</v>
      </c>
      <c r="R311">
        <f>COUNTA(year!C310:ZZ310)</f>
        <v>2</v>
      </c>
      <c r="S311">
        <f>COUNTA(books!C310:ZZ310)</f>
        <v>2</v>
      </c>
      <c r="T311">
        <f>COUNTA(rating!C310:ZZ310)</f>
        <v>2</v>
      </c>
      <c r="U311">
        <f t="shared" si="4"/>
        <v>0</v>
      </c>
    </row>
    <row r="312" spans="8:21" x14ac:dyDescent="0.35">
      <c r="H312" s="7" t="str">
        <v>W</v>
      </c>
      <c r="J312" t="str">
        <v>W</v>
      </c>
      <c r="K312" t="str">
        <v>White</v>
      </c>
      <c r="L312" t="str">
        <v>Walter White</v>
      </c>
      <c r="M312" t="e">
        <f t="array" ref="M312">VLOOKUP(L312,books!B310,1,0)</f>
        <v>#N/A</v>
      </c>
      <c r="N312">
        <f>COUNTA(books!C311:'books'!ZZ311)</f>
        <v>1</v>
      </c>
      <c r="O312">
        <f t="array" ref="O312">AVERAGE(rating!C311:'rating'!ZZ311)</f>
        <v>9</v>
      </c>
      <c r="P312">
        <f>SUM(COUNTIF(rating!C311:ZZ311, 10))</f>
        <v>0</v>
      </c>
      <c r="R312">
        <f>COUNTA(year!C311:ZZ311)</f>
        <v>1</v>
      </c>
      <c r="S312">
        <f>COUNTA(books!C311:ZZ311)</f>
        <v>1</v>
      </c>
      <c r="T312">
        <f>COUNTA(rating!C311:ZZ311)</f>
        <v>1</v>
      </c>
      <c r="U312">
        <f t="shared" si="4"/>
        <v>0</v>
      </c>
    </row>
    <row r="313" spans="8:21" x14ac:dyDescent="0.35">
      <c r="H313" s="7" t="str">
        <v>S</v>
      </c>
      <c r="J313" t="str">
        <v>K</v>
      </c>
      <c r="K313" t="str">
        <v>Stockett</v>
      </c>
      <c r="L313" t="str">
        <v>Kathryn Stockett</v>
      </c>
      <c r="M313" t="e">
        <f t="array" ref="M313">VLOOKUP(L313,books!B311,1,0)</f>
        <v>#N/A</v>
      </c>
      <c r="N313">
        <f>COUNTA(books!C312:'books'!ZZ312)</f>
        <v>1</v>
      </c>
      <c r="O313">
        <f t="array" ref="O313">AVERAGE(rating!C312:'rating'!ZZ312)</f>
        <v>8</v>
      </c>
      <c r="P313">
        <f>SUM(COUNTIF(rating!C312:ZZ312, 10))</f>
        <v>0</v>
      </c>
      <c r="R313">
        <f>COUNTA(year!C312:ZZ312)</f>
        <v>1</v>
      </c>
      <c r="S313">
        <f>COUNTA(books!C312:ZZ312)</f>
        <v>1</v>
      </c>
      <c r="T313">
        <f>COUNTA(rating!C312:ZZ312)</f>
        <v>1</v>
      </c>
      <c r="U313">
        <f t="shared" si="4"/>
        <v>0</v>
      </c>
    </row>
    <row r="314" spans="8:21" x14ac:dyDescent="0.35">
      <c r="H314" s="7" t="str">
        <v>M</v>
      </c>
      <c r="J314" t="str">
        <v>C</v>
      </c>
      <c r="K314" t="str">
        <v>Millard</v>
      </c>
      <c r="L314" t="str">
        <v>Candice Millard</v>
      </c>
      <c r="M314" t="e">
        <f t="array" ref="M314">VLOOKUP(L314,books!B312,1,0)</f>
        <v>#N/A</v>
      </c>
      <c r="N314">
        <f>COUNTA(books!C313:'books'!ZZ313)</f>
        <v>1</v>
      </c>
      <c r="O314">
        <f t="array" ref="O314">AVERAGE(rating!C313:'rating'!ZZ313)</f>
        <v>8</v>
      </c>
      <c r="P314">
        <f>SUM(COUNTIF(rating!C313:ZZ313, 10))</f>
        <v>0</v>
      </c>
      <c r="R314">
        <f>COUNTA(year!C313:ZZ313)</f>
        <v>1</v>
      </c>
      <c r="S314">
        <f>COUNTA(books!C313:ZZ313)</f>
        <v>1</v>
      </c>
      <c r="T314">
        <f>COUNTA(rating!C313:ZZ313)</f>
        <v>1</v>
      </c>
      <c r="U314">
        <f t="shared" si="4"/>
        <v>0</v>
      </c>
    </row>
    <row r="315" spans="8:21" x14ac:dyDescent="0.35">
      <c r="H315" s="7" t="str">
        <v>L</v>
      </c>
      <c r="J315" t="str">
        <v>N</v>
      </c>
      <c r="K315" t="str">
        <v>Larson</v>
      </c>
      <c r="L315" t="str">
        <v>Nella Larson</v>
      </c>
      <c r="M315" t="e">
        <f t="array" ref="M315">VLOOKUP(L315,books!B313,1,0)</f>
        <v>#N/A</v>
      </c>
      <c r="N315">
        <f>COUNTA(books!C314:'books'!ZZ314)</f>
        <v>1</v>
      </c>
      <c r="O315">
        <f t="array" ref="O315">AVERAGE(rating!C314:'rating'!ZZ314)</f>
        <v>7</v>
      </c>
      <c r="P315">
        <f>SUM(COUNTIF(rating!C314:ZZ314, 10))</f>
        <v>0</v>
      </c>
      <c r="R315">
        <f>COUNTA(year!C314:ZZ314)</f>
        <v>1</v>
      </c>
      <c r="S315">
        <f>COUNTA(books!C314:ZZ314)</f>
        <v>1</v>
      </c>
      <c r="T315">
        <f>COUNTA(rating!C314:ZZ314)</f>
        <v>1</v>
      </c>
      <c r="U315">
        <f t="shared" si="4"/>
        <v>0</v>
      </c>
    </row>
    <row r="316" spans="8:21" x14ac:dyDescent="0.35">
      <c r="H316" s="7" t="str">
        <v>G</v>
      </c>
      <c r="J316" t="str">
        <v>W</v>
      </c>
      <c r="K316" t="str">
        <v>Goldman</v>
      </c>
      <c r="L316" t="str">
        <v>William Goldman</v>
      </c>
      <c r="M316" t="e">
        <f t="array" ref="M316">VLOOKUP(L316,books!B314,1,0)</f>
        <v>#N/A</v>
      </c>
      <c r="N316">
        <f>COUNTA(books!C315:'books'!ZZ315)</f>
        <v>1</v>
      </c>
      <c r="O316">
        <f t="array" ref="O316">AVERAGE(rating!C315:'rating'!ZZ315)</f>
        <v>10</v>
      </c>
      <c r="P316">
        <f>SUM(COUNTIF(rating!C315:ZZ315, 10))</f>
        <v>1</v>
      </c>
      <c r="R316">
        <f>COUNTA(year!C315:ZZ315)</f>
        <v>1</v>
      </c>
      <c r="S316">
        <f>COUNTA(books!C315:ZZ315)</f>
        <v>1</v>
      </c>
      <c r="T316">
        <f>COUNTA(rating!C315:ZZ315)</f>
        <v>1</v>
      </c>
      <c r="U316">
        <f t="shared" si="4"/>
        <v>0</v>
      </c>
    </row>
    <row r="317" spans="8:21" x14ac:dyDescent="0.35">
      <c r="H317" s="7" t="str">
        <v>G</v>
      </c>
      <c r="J317" t="str">
        <v>D</v>
      </c>
      <c r="K317" t="str">
        <v>Gage</v>
      </c>
      <c r="L317" t="str">
        <v>Daniel Gage</v>
      </c>
      <c r="M317" t="e">
        <f t="array" ref="M317">VLOOKUP(L317,books!B315,1,0)</f>
        <v>#N/A</v>
      </c>
      <c r="N317">
        <f>COUNTA(books!C316:'books'!ZZ316)</f>
        <v>1</v>
      </c>
      <c r="O317">
        <f t="array" ref="O317">AVERAGE(rating!C316:'rating'!ZZ316)</f>
        <v>9</v>
      </c>
      <c r="P317">
        <f>SUM(COUNTIF(rating!C316:ZZ316, 10))</f>
        <v>0</v>
      </c>
      <c r="R317">
        <f>COUNTA(year!C316:ZZ316)</f>
        <v>1</v>
      </c>
      <c r="S317">
        <f>COUNTA(books!C316:ZZ316)</f>
        <v>1</v>
      </c>
      <c r="T317">
        <f>COUNTA(rating!C316:ZZ316)</f>
        <v>1</v>
      </c>
      <c r="U317">
        <f t="shared" si="4"/>
        <v>0</v>
      </c>
    </row>
    <row r="318" spans="8:21" x14ac:dyDescent="0.35">
      <c r="H318" s="7" t="str">
        <v>J</v>
      </c>
      <c r="J318" t="str">
        <v>N</v>
      </c>
      <c r="K318" t="str">
        <v>Juster</v>
      </c>
      <c r="L318" t="str">
        <v>Norton Juster</v>
      </c>
      <c r="M318" t="e">
        <f t="array" ref="M318">VLOOKUP(L318,books!B316,1,0)</f>
        <v>#N/A</v>
      </c>
      <c r="N318">
        <f>COUNTA(books!C317:'books'!ZZ317)</f>
        <v>1</v>
      </c>
      <c r="O318">
        <f t="array" ref="O318">AVERAGE(rating!C317:'rating'!ZZ317)</f>
        <v>9</v>
      </c>
      <c r="P318">
        <f>SUM(COUNTIF(rating!C317:ZZ317, 10))</f>
        <v>0</v>
      </c>
      <c r="R318">
        <f>COUNTA(year!C317:ZZ317)</f>
        <v>1</v>
      </c>
      <c r="S318">
        <f>COUNTA(books!C317:ZZ317)</f>
        <v>1</v>
      </c>
      <c r="T318">
        <f>COUNTA(rating!C317:ZZ317)</f>
        <v>1</v>
      </c>
      <c r="U318">
        <f t="shared" si="4"/>
        <v>0</v>
      </c>
    </row>
    <row r="319" spans="8:21" x14ac:dyDescent="0.35">
      <c r="H319" s="7" t="str">
        <v>J</v>
      </c>
      <c r="J319" t="str">
        <v>R</v>
      </c>
      <c r="K319" t="str">
        <v>Jordan</v>
      </c>
      <c r="L319" t="str">
        <v>Robert Jordan</v>
      </c>
      <c r="M319" t="e">
        <f t="array" ref="M319">VLOOKUP(L319,books!B317,1,0)</f>
        <v>#N/A</v>
      </c>
      <c r="N319">
        <f>COUNTA(books!C318:'books'!ZZ318)</f>
        <v>1</v>
      </c>
      <c r="O319">
        <f t="array" ref="O319">AVERAGE(rating!C318:'rating'!ZZ318)</f>
        <v>9</v>
      </c>
      <c r="P319">
        <f>SUM(COUNTIF(rating!C318:ZZ318, 10))</f>
        <v>0</v>
      </c>
      <c r="R319">
        <f>COUNTA(year!C318:ZZ318)</f>
        <v>1</v>
      </c>
      <c r="S319">
        <f>COUNTA(books!C318:ZZ318)</f>
        <v>1</v>
      </c>
      <c r="T319">
        <f>COUNTA(rating!C318:ZZ318)</f>
        <v>1</v>
      </c>
      <c r="U319">
        <f t="shared" si="4"/>
        <v>0</v>
      </c>
    </row>
    <row r="320" spans="8:21" x14ac:dyDescent="0.35">
      <c r="H320" s="7" t="str">
        <v>R</v>
      </c>
      <c r="J320" t="str">
        <v>A</v>
      </c>
      <c r="K320" t="str">
        <v>Rinaldi</v>
      </c>
      <c r="L320" t="str">
        <v>Ann Rinaldi</v>
      </c>
      <c r="M320" t="e">
        <f t="array" ref="M320">VLOOKUP(L320,books!B318,1,0)</f>
        <v>#N/A</v>
      </c>
      <c r="N320">
        <f>COUNTA(books!C319:'books'!ZZ319)</f>
        <v>1</v>
      </c>
      <c r="O320">
        <f t="array" ref="O320">AVERAGE(rating!C319:'rating'!ZZ319)</f>
        <v>10</v>
      </c>
      <c r="P320">
        <f>SUM(COUNTIF(rating!C319:ZZ319, 10))</f>
        <v>1</v>
      </c>
      <c r="R320">
        <f>COUNTA(year!C319:ZZ319)</f>
        <v>1</v>
      </c>
      <c r="S320">
        <f>COUNTA(books!C319:ZZ319)</f>
        <v>1</v>
      </c>
      <c r="T320">
        <f>COUNTA(rating!C319:ZZ319)</f>
        <v>1</v>
      </c>
      <c r="U320">
        <f t="shared" si="4"/>
        <v>0</v>
      </c>
    </row>
    <row r="321" spans="8:21" x14ac:dyDescent="0.35">
      <c r="H321" s="7" t="str">
        <v>A</v>
      </c>
      <c r="J321" t="str">
        <v>R</v>
      </c>
      <c r="K321" t="str">
        <v>Atwater</v>
      </c>
      <c r="L321" t="str">
        <v>Richard and Florence Atwater</v>
      </c>
      <c r="M321" t="e">
        <f t="array" ref="M321">VLOOKUP(L321,books!B319,1,0)</f>
        <v>#N/A</v>
      </c>
      <c r="N321">
        <f>COUNTA(books!C320:'books'!ZZ320)</f>
        <v>1</v>
      </c>
      <c r="O321">
        <f t="array" ref="O321">AVERAGE(rating!C320:'rating'!ZZ320)</f>
        <v>9</v>
      </c>
      <c r="P321">
        <f>SUM(COUNTIF(rating!C320:ZZ320, 10))</f>
        <v>0</v>
      </c>
      <c r="R321">
        <f>COUNTA(year!C320:ZZ320)</f>
        <v>1</v>
      </c>
      <c r="S321">
        <f>COUNTA(books!C320:ZZ320)</f>
        <v>1</v>
      </c>
      <c r="T321">
        <f>COUNTA(rating!C320:ZZ320)</f>
        <v>1</v>
      </c>
      <c r="U321">
        <f t="shared" si="4"/>
        <v>0</v>
      </c>
    </row>
    <row r="322" spans="8:21" x14ac:dyDescent="0.35">
      <c r="H322" s="7" t="str">
        <v>F</v>
      </c>
      <c r="J322" t="str">
        <v>P</v>
      </c>
      <c r="K322" t="str">
        <v>Fleischman</v>
      </c>
      <c r="L322" t="str">
        <v>Paul Fleischman</v>
      </c>
      <c r="M322" t="e">
        <f t="array" ref="M322">VLOOKUP(L322,books!B320,1,0)</f>
        <v>#N/A</v>
      </c>
      <c r="N322">
        <f>COUNTA(books!C321:'books'!ZZ321)</f>
        <v>1</v>
      </c>
      <c r="O322">
        <f t="array" ref="O322">AVERAGE(rating!C321:'rating'!ZZ321)</f>
        <v>8</v>
      </c>
      <c r="P322">
        <f>SUM(COUNTIF(rating!C321:ZZ321, 10))</f>
        <v>0</v>
      </c>
      <c r="R322">
        <f>COUNTA(year!C321:ZZ321)</f>
        <v>1</v>
      </c>
      <c r="S322">
        <f>COUNTA(books!C321:ZZ321)</f>
        <v>1</v>
      </c>
      <c r="T322">
        <f>COUNTA(rating!C321:ZZ321)</f>
        <v>1</v>
      </c>
      <c r="U322">
        <f t="shared" si="4"/>
        <v>0</v>
      </c>
    </row>
    <row r="323" spans="8:21" x14ac:dyDescent="0.35">
      <c r="H323" s="7" t="str">
        <v>L</v>
      </c>
      <c r="J323" t="str">
        <v>J</v>
      </c>
      <c r="K323" t="str">
        <v>Layman</v>
      </c>
      <c r="L323" t="str">
        <v>John Layman</v>
      </c>
      <c r="M323" t="e">
        <f t="array" ref="M323">VLOOKUP(L323,books!B321,1,0)</f>
        <v>#N/A</v>
      </c>
      <c r="N323">
        <f>COUNTA(books!C322:'books'!ZZ322)</f>
        <v>1</v>
      </c>
      <c r="O323">
        <f t="array" ref="O323">AVERAGE(rating!C322:'rating'!ZZ322)</f>
        <v>7</v>
      </c>
      <c r="P323">
        <f>SUM(COUNTIF(rating!C322:ZZ322, 10))</f>
        <v>0</v>
      </c>
      <c r="R323">
        <f>COUNTA(year!C322:ZZ322)</f>
        <v>1</v>
      </c>
      <c r="S323">
        <f>COUNTA(books!C322:ZZ322)</f>
        <v>1</v>
      </c>
      <c r="T323">
        <f>COUNTA(rating!C322:ZZ322)</f>
        <v>1</v>
      </c>
      <c r="U323">
        <f t="shared" ref="U323:U386" si="5">R323-T323</f>
        <v>0</v>
      </c>
    </row>
    <row r="324" spans="8:21" x14ac:dyDescent="0.35">
      <c r="H324" s="7" t="str">
        <v>C</v>
      </c>
      <c r="J324" t="str">
        <v>W</v>
      </c>
      <c r="K324" t="str">
        <v>Cronon</v>
      </c>
      <c r="L324" t="str">
        <v>William Cronon</v>
      </c>
      <c r="M324" t="e">
        <f t="array" ref="M324">VLOOKUP(L324,books!B322,1,0)</f>
        <v>#N/A</v>
      </c>
      <c r="N324">
        <f>COUNTA(books!C323:'books'!ZZ323)</f>
        <v>1</v>
      </c>
      <c r="O324">
        <f t="array" ref="O324">AVERAGE(rating!C323:'rating'!ZZ323)</f>
        <v>10</v>
      </c>
      <c r="P324">
        <f>SUM(COUNTIF(rating!C323:ZZ323, 10))</f>
        <v>1</v>
      </c>
      <c r="R324">
        <f>COUNTA(year!C323:ZZ323)</f>
        <v>1</v>
      </c>
      <c r="S324">
        <f>COUNTA(books!C323:ZZ323)</f>
        <v>1</v>
      </c>
      <c r="T324">
        <f>COUNTA(rating!C323:ZZ323)</f>
        <v>1</v>
      </c>
      <c r="U324">
        <f t="shared" si="5"/>
        <v>0</v>
      </c>
    </row>
    <row r="325" spans="8:21" x14ac:dyDescent="0.35">
      <c r="H325" s="7" t="str">
        <v>A</v>
      </c>
      <c r="J325" t="str">
        <v>J</v>
      </c>
      <c r="K325" t="str">
        <v>Auyero</v>
      </c>
      <c r="L325" t="str">
        <v>Javier Auyero</v>
      </c>
      <c r="M325" t="e">
        <f t="array" ref="M325">VLOOKUP(L325,books!B323,1,0)</f>
        <v>#N/A</v>
      </c>
      <c r="N325">
        <f>COUNTA(books!C324:'books'!ZZ324)</f>
        <v>1</v>
      </c>
      <c r="O325">
        <f t="array" ref="O325">AVERAGE(rating!C324:'rating'!ZZ324)</f>
        <v>8</v>
      </c>
      <c r="P325">
        <f>SUM(COUNTIF(rating!C324:ZZ324, 10))</f>
        <v>0</v>
      </c>
      <c r="R325">
        <f>COUNTA(year!C324:ZZ324)</f>
        <v>1</v>
      </c>
      <c r="S325">
        <f>COUNTA(books!C324:ZZ324)</f>
        <v>1</v>
      </c>
      <c r="T325">
        <f>COUNTA(rating!C324:ZZ324)</f>
        <v>1</v>
      </c>
      <c r="U325">
        <f t="shared" si="5"/>
        <v>0</v>
      </c>
    </row>
    <row r="326" spans="8:21" x14ac:dyDescent="0.35">
      <c r="H326" s="7" t="str">
        <v>P</v>
      </c>
      <c r="J326" t="str">
        <v>C</v>
      </c>
      <c r="K326" t="str">
        <v>Potter</v>
      </c>
      <c r="L326" t="str">
        <v>Celia Applegate and Pamela Potter</v>
      </c>
      <c r="M326" t="e">
        <f t="array" ref="M326">VLOOKUP(L326,books!B324,1,0)</f>
        <v>#N/A</v>
      </c>
      <c r="N326">
        <f>COUNTA(books!C325:'books'!ZZ325)</f>
        <v>1</v>
      </c>
      <c r="O326">
        <f t="array" ref="O326">AVERAGE(rating!C325:'rating'!ZZ325)</f>
        <v>7</v>
      </c>
      <c r="P326">
        <f>SUM(COUNTIF(rating!C325:ZZ325, 10))</f>
        <v>0</v>
      </c>
      <c r="R326">
        <f>COUNTA(year!C325:ZZ325)</f>
        <v>1</v>
      </c>
      <c r="S326">
        <f>COUNTA(books!C325:ZZ325)</f>
        <v>1</v>
      </c>
      <c r="T326">
        <f>COUNTA(rating!C325:ZZ325)</f>
        <v>1</v>
      </c>
      <c r="U326">
        <f t="shared" si="5"/>
        <v>0</v>
      </c>
    </row>
    <row r="327" spans="8:21" x14ac:dyDescent="0.35">
      <c r="H327" s="7" t="str">
        <v>C</v>
      </c>
      <c r="J327" t="str">
        <v>G</v>
      </c>
      <c r="K327" t="str">
        <v>Craig</v>
      </c>
      <c r="L327" t="str">
        <v>Gordon Craig</v>
      </c>
      <c r="M327" t="e">
        <f t="array" ref="M327">VLOOKUP(L327,books!B325,1,0)</f>
        <v>#N/A</v>
      </c>
      <c r="N327">
        <f>COUNTA(books!C326:'books'!ZZ326)</f>
        <v>1</v>
      </c>
      <c r="O327">
        <f t="array" ref="O327">AVERAGE(rating!C326:'rating'!ZZ326)</f>
        <v>9</v>
      </c>
      <c r="P327">
        <f>SUM(COUNTIF(rating!C326:ZZ326, 10))</f>
        <v>0</v>
      </c>
      <c r="R327">
        <f>COUNTA(year!C326:ZZ326)</f>
        <v>1</v>
      </c>
      <c r="S327">
        <f>COUNTA(books!C326:ZZ326)</f>
        <v>1</v>
      </c>
      <c r="T327">
        <f>COUNTA(rating!C326:ZZ326)</f>
        <v>1</v>
      </c>
      <c r="U327">
        <f t="shared" si="5"/>
        <v>0</v>
      </c>
    </row>
    <row r="328" spans="8:21" x14ac:dyDescent="0.35">
      <c r="H328" s="7" t="str">
        <v>K</v>
      </c>
      <c r="J328" t="str">
        <v>M</v>
      </c>
      <c r="K328" t="str">
        <v>Kater</v>
      </c>
      <c r="L328" t="str">
        <v>Michael Kater</v>
      </c>
      <c r="M328" t="e">
        <f t="array" ref="M328">VLOOKUP(L328,books!B326,1,0)</f>
        <v>#N/A</v>
      </c>
      <c r="N328">
        <f>COUNTA(books!C327:'books'!ZZ327)</f>
        <v>1</v>
      </c>
      <c r="O328">
        <f t="array" ref="O328">AVERAGE(rating!C327:'rating'!ZZ327)</f>
        <v>7</v>
      </c>
      <c r="P328">
        <f>SUM(COUNTIF(rating!C327:ZZ327, 10))</f>
        <v>0</v>
      </c>
      <c r="R328">
        <f>COUNTA(year!C327:ZZ327)</f>
        <v>1</v>
      </c>
      <c r="S328">
        <f>COUNTA(books!C327:ZZ327)</f>
        <v>1</v>
      </c>
      <c r="T328">
        <f>COUNTA(rating!C327:ZZ327)</f>
        <v>1</v>
      </c>
      <c r="U328">
        <f t="shared" si="5"/>
        <v>0</v>
      </c>
    </row>
    <row r="329" spans="8:21" x14ac:dyDescent="0.35">
      <c r="H329" s="7" t="str">
        <v>O</v>
      </c>
      <c r="J329" t="str">
        <v>R</v>
      </c>
      <c r="K329" t="str">
        <v>Oettinger</v>
      </c>
      <c r="L329" t="str">
        <v>Rebecca Oettinger</v>
      </c>
      <c r="M329" t="e">
        <f t="array" ref="M329">VLOOKUP(L329,books!B327,1,0)</f>
        <v>#N/A</v>
      </c>
      <c r="N329">
        <f>COUNTA(books!C328:'books'!ZZ328)</f>
        <v>1</v>
      </c>
      <c r="O329">
        <f t="array" ref="O329">AVERAGE(rating!C328:'rating'!ZZ328)</f>
        <v>8</v>
      </c>
      <c r="P329">
        <f>SUM(COUNTIF(rating!C328:ZZ328, 10))</f>
        <v>0</v>
      </c>
      <c r="R329">
        <f>COUNTA(year!C328:ZZ328)</f>
        <v>1</v>
      </c>
      <c r="S329">
        <f>COUNTA(books!C328:ZZ328)</f>
        <v>1</v>
      </c>
      <c r="T329">
        <f>COUNTA(rating!C328:ZZ328)</f>
        <v>1</v>
      </c>
      <c r="U329">
        <f t="shared" si="5"/>
        <v>0</v>
      </c>
    </row>
    <row r="330" spans="8:21" x14ac:dyDescent="0.35">
      <c r="H330" s="7" t="str">
        <v>S</v>
      </c>
      <c r="J330" t="str">
        <v>U</v>
      </c>
      <c r="K330" t="str">
        <v>Schutt</v>
      </c>
      <c r="L330" t="str">
        <v>Uwe Schutt</v>
      </c>
      <c r="M330" t="e">
        <f t="array" ref="M330">VLOOKUP(L330,books!B328,1,0)</f>
        <v>#N/A</v>
      </c>
      <c r="N330">
        <f>COUNTA(books!C329:'books'!ZZ329)</f>
        <v>1</v>
      </c>
      <c r="O330">
        <f t="array" ref="O330">AVERAGE(rating!C329:'rating'!ZZ329)</f>
        <v>7</v>
      </c>
      <c r="P330">
        <f>SUM(COUNTIF(rating!C329:ZZ329, 10))</f>
        <v>0</v>
      </c>
      <c r="R330">
        <f>COUNTA(year!C329:ZZ329)</f>
        <v>1</v>
      </c>
      <c r="S330">
        <f>COUNTA(books!C329:ZZ329)</f>
        <v>1</v>
      </c>
      <c r="T330">
        <f>COUNTA(rating!C329:ZZ329)</f>
        <v>1</v>
      </c>
      <c r="U330">
        <f t="shared" si="5"/>
        <v>0</v>
      </c>
    </row>
    <row r="331" spans="8:21" x14ac:dyDescent="0.35">
      <c r="H331" s="7" t="str">
        <v>S</v>
      </c>
      <c r="J331" t="str">
        <v>W</v>
      </c>
      <c r="K331" t="str">
        <v>Shakespeare</v>
      </c>
      <c r="L331" t="str">
        <v>William Shakespeare</v>
      </c>
      <c r="M331" t="e">
        <f t="array" ref="M331">VLOOKUP(L331,books!B329,1,0)</f>
        <v>#N/A</v>
      </c>
      <c r="N331">
        <f>COUNTA(books!C330:'books'!ZZ330)</f>
        <v>4</v>
      </c>
      <c r="O331">
        <f t="array" ref="O331">AVERAGE(rating!C330:'rating'!ZZ330)</f>
        <v>8</v>
      </c>
      <c r="P331">
        <f>SUM(COUNTIF(rating!C330:ZZ330, 10))</f>
        <v>0</v>
      </c>
      <c r="R331">
        <f>COUNTA(year!C330:ZZ330)</f>
        <v>4</v>
      </c>
      <c r="S331">
        <f>COUNTA(books!C330:ZZ330)</f>
        <v>4</v>
      </c>
      <c r="T331">
        <f>COUNTA(rating!C330:ZZ330)</f>
        <v>4</v>
      </c>
      <c r="U331">
        <f t="shared" si="5"/>
        <v>0</v>
      </c>
    </row>
    <row r="332" spans="8:21" x14ac:dyDescent="0.35">
      <c r="H332" s="7" t="str">
        <v>M</v>
      </c>
      <c r="J332" t="str">
        <v>J</v>
      </c>
      <c r="K332" t="str">
        <v>Merrill</v>
      </c>
      <c r="L332" t="str">
        <v>Jean Merrill</v>
      </c>
      <c r="M332" t="e">
        <f t="array" ref="M332">VLOOKUP(L332,books!B330,1,0)</f>
        <v>#N/A</v>
      </c>
      <c r="N332">
        <f>COUNTA(books!C331:'books'!ZZ331)</f>
        <v>1</v>
      </c>
      <c r="O332">
        <f t="array" ref="O332">AVERAGE(rating!C331:'rating'!ZZ331)</f>
        <v>9</v>
      </c>
      <c r="P332">
        <f>SUM(COUNTIF(rating!C331:ZZ331, 10))</f>
        <v>0</v>
      </c>
      <c r="R332">
        <f>COUNTA(year!C331:ZZ331)</f>
        <v>1</v>
      </c>
      <c r="S332">
        <f>COUNTA(books!C331:ZZ331)</f>
        <v>1</v>
      </c>
      <c r="T332">
        <f>COUNTA(rating!C331:ZZ331)</f>
        <v>1</v>
      </c>
      <c r="U332">
        <f t="shared" si="5"/>
        <v>0</v>
      </c>
    </row>
    <row r="333" spans="8:21" x14ac:dyDescent="0.35">
      <c r="H333" s="7" t="str">
        <v>B</v>
      </c>
      <c r="J333" t="str">
        <v>D</v>
      </c>
      <c r="K333" t="str">
        <v>Blight</v>
      </c>
      <c r="L333" t="str">
        <v>David Blight</v>
      </c>
      <c r="M333" t="e">
        <f t="array" ref="M333">VLOOKUP(L333,books!B331,1,0)</f>
        <v>#N/A</v>
      </c>
      <c r="N333">
        <f>COUNTA(books!C332:'books'!ZZ332)</f>
        <v>1</v>
      </c>
      <c r="O333">
        <f t="array" ref="O333">AVERAGE(rating!C332:'rating'!ZZ332)</f>
        <v>7</v>
      </c>
      <c r="P333">
        <f>SUM(COUNTIF(rating!C332:ZZ332, 10))</f>
        <v>0</v>
      </c>
      <c r="R333">
        <f>COUNTA(year!C332:ZZ332)</f>
        <v>1</v>
      </c>
      <c r="S333">
        <f>COUNTA(books!C332:ZZ332)</f>
        <v>1</v>
      </c>
      <c r="T333">
        <f>COUNTA(rating!C332:ZZ332)</f>
        <v>1</v>
      </c>
      <c r="U333">
        <f t="shared" si="5"/>
        <v>0</v>
      </c>
    </row>
    <row r="334" spans="8:21" x14ac:dyDescent="0.35">
      <c r="H334" s="7" t="str">
        <v>J</v>
      </c>
      <c r="J334" t="str">
        <v>A</v>
      </c>
      <c r="K334" t="str">
        <v>Jay</v>
      </c>
      <c r="L334" t="str">
        <v>Alexander Hamilton, James Madison, and John Jay</v>
      </c>
      <c r="M334" t="e">
        <f t="array" ref="M334">VLOOKUP(L334,books!B332,1,0)</f>
        <v>#N/A</v>
      </c>
      <c r="N334">
        <f>COUNTA(books!C333:'books'!ZZ333)</f>
        <v>1</v>
      </c>
      <c r="O334">
        <f t="array" ref="O334">AVERAGE(rating!C333:'rating'!ZZ333)</f>
        <v>9</v>
      </c>
      <c r="P334">
        <f>SUM(COUNTIF(rating!C333:ZZ333, 10))</f>
        <v>0</v>
      </c>
      <c r="R334">
        <f>COUNTA(year!C333:ZZ333)</f>
        <v>1</v>
      </c>
      <c r="S334">
        <f>COUNTA(books!C333:ZZ333)</f>
        <v>1</v>
      </c>
      <c r="T334">
        <f>COUNTA(rating!C333:ZZ333)</f>
        <v>1</v>
      </c>
      <c r="U334">
        <f t="shared" si="5"/>
        <v>0</v>
      </c>
    </row>
    <row r="335" spans="8:21" x14ac:dyDescent="0.35">
      <c r="H335" s="7" t="str">
        <v>P</v>
      </c>
      <c r="J335" t="str">
        <v>N</v>
      </c>
      <c r="K335" t="str">
        <v>Pyle</v>
      </c>
      <c r="L335" t="str">
        <v>Nathan Pyle</v>
      </c>
      <c r="M335" t="e">
        <f t="array" ref="M335">VLOOKUP(L335,books!B333,1,0)</f>
        <v>#N/A</v>
      </c>
      <c r="N335">
        <f>COUNTA(books!C334:'books'!ZZ334)</f>
        <v>1</v>
      </c>
      <c r="O335">
        <f t="array" ref="O335">AVERAGE(rating!C334:'rating'!ZZ334)</f>
        <v>10</v>
      </c>
      <c r="P335">
        <f>SUM(COUNTIF(rating!C334:ZZ334, 10))</f>
        <v>1</v>
      </c>
      <c r="R335">
        <f>COUNTA(year!C334:ZZ334)</f>
        <v>1</v>
      </c>
      <c r="S335">
        <f>COUNTA(books!C334:ZZ334)</f>
        <v>1</v>
      </c>
      <c r="T335">
        <f>COUNTA(rating!C334:ZZ334)</f>
        <v>1</v>
      </c>
      <c r="U335">
        <f t="shared" si="5"/>
        <v>0</v>
      </c>
    </row>
    <row r="336" spans="8:21" x14ac:dyDescent="0.35">
      <c r="H336" s="7" t="str">
        <v>B</v>
      </c>
      <c r="J336" t="str">
        <v>I</v>
      </c>
      <c r="K336" t="str">
        <v>Beah</v>
      </c>
      <c r="L336" t="str">
        <v>Ishmael Beah</v>
      </c>
      <c r="M336" t="e">
        <f t="array" ref="M336">VLOOKUP(L336,books!B334,1,0)</f>
        <v>#N/A</v>
      </c>
      <c r="N336">
        <f>COUNTA(books!C335:'books'!ZZ335)</f>
        <v>1</v>
      </c>
      <c r="O336">
        <f t="array" ref="O336">AVERAGE(rating!C335:'rating'!ZZ335)</f>
        <v>10</v>
      </c>
      <c r="P336">
        <f>SUM(COUNTIF(rating!C335:ZZ335, 10))</f>
        <v>1</v>
      </c>
      <c r="R336">
        <f>COUNTA(year!C335:ZZ335)</f>
        <v>1</v>
      </c>
      <c r="S336">
        <f>COUNTA(books!C335:ZZ335)</f>
        <v>1</v>
      </c>
      <c r="T336">
        <f>COUNTA(rating!C335:ZZ335)</f>
        <v>1</v>
      </c>
      <c r="U336">
        <f t="shared" si="5"/>
        <v>0</v>
      </c>
    </row>
    <row r="337" spans="8:21" x14ac:dyDescent="0.35">
      <c r="H337" s="7" t="str">
        <v>B</v>
      </c>
      <c r="J337" t="str">
        <v>N</v>
      </c>
      <c r="K337" t="str">
        <v>Benaron</v>
      </c>
      <c r="L337" t="str">
        <v>Naomi Benaron</v>
      </c>
      <c r="M337" t="e">
        <f t="array" ref="M337">VLOOKUP(L337,books!B335,1,0)</f>
        <v>#N/A</v>
      </c>
      <c r="N337">
        <f>COUNTA(books!C336:'books'!ZZ336)</f>
        <v>1</v>
      </c>
      <c r="O337">
        <f t="array" ref="O337">AVERAGE(rating!C336:'rating'!ZZ336)</f>
        <v>10</v>
      </c>
      <c r="P337">
        <f>SUM(COUNTIF(rating!C336:ZZ336, 10))</f>
        <v>1</v>
      </c>
      <c r="R337">
        <f>COUNTA(year!C336:ZZ336)</f>
        <v>1</v>
      </c>
      <c r="S337">
        <f>COUNTA(books!C336:ZZ336)</f>
        <v>1</v>
      </c>
      <c r="T337">
        <f>COUNTA(rating!C336:ZZ336)</f>
        <v>1</v>
      </c>
      <c r="U337">
        <f t="shared" si="5"/>
        <v>0</v>
      </c>
    </row>
    <row r="338" spans="8:21" x14ac:dyDescent="0.35">
      <c r="H338" s="7" t="str">
        <v>M</v>
      </c>
      <c r="J338" t="str">
        <v>T</v>
      </c>
      <c r="K338" t="str">
        <v>Mann</v>
      </c>
      <c r="L338" t="str">
        <v>Thomas Mann</v>
      </c>
      <c r="M338" t="e">
        <f t="array" ref="M338">VLOOKUP(L338,books!B336,1,0)</f>
        <v>#N/A</v>
      </c>
      <c r="N338">
        <f>COUNTA(books!C337:'books'!ZZ337)</f>
        <v>1</v>
      </c>
      <c r="O338">
        <f t="array" ref="O338">AVERAGE(rating!C337:'rating'!ZZ337)</f>
        <v>4</v>
      </c>
      <c r="P338">
        <f>SUM(COUNTIF(rating!C337:ZZ337, 10))</f>
        <v>0</v>
      </c>
      <c r="R338">
        <f>COUNTA(year!C337:ZZ337)</f>
        <v>1</v>
      </c>
      <c r="S338">
        <f>COUNTA(books!C337:ZZ337)</f>
        <v>1</v>
      </c>
      <c r="T338">
        <f>COUNTA(rating!C337:ZZ337)</f>
        <v>1</v>
      </c>
      <c r="U338">
        <f t="shared" si="5"/>
        <v>0</v>
      </c>
    </row>
    <row r="339" spans="8:21" x14ac:dyDescent="0.35">
      <c r="H339" s="7" t="str">
        <v>B</v>
      </c>
      <c r="J339" t="str">
        <v>B</v>
      </c>
      <c r="K339" t="str">
        <v>Brecht</v>
      </c>
      <c r="L339" t="str">
        <v>Bertold Brecht</v>
      </c>
      <c r="M339" t="e">
        <f t="array" ref="M339">VLOOKUP(L339,books!#REF!,1,0)</f>
        <v>#REF!</v>
      </c>
      <c r="N339">
        <f>COUNTA(books!C338:'books'!ZZ338)</f>
        <v>2</v>
      </c>
      <c r="O339">
        <f t="array" ref="O339">AVERAGE(rating!C338:'rating'!ZZ338)</f>
        <v>7</v>
      </c>
      <c r="P339">
        <f>SUM(COUNTIF(rating!C338:ZZ338, 10))</f>
        <v>0</v>
      </c>
      <c r="R339">
        <f>COUNTA(year!C338:ZZ338)</f>
        <v>2</v>
      </c>
      <c r="S339">
        <f>COUNTA(books!C338:ZZ338)</f>
        <v>2</v>
      </c>
      <c r="T339">
        <f>COUNTA(rating!C338:ZZ338)</f>
        <v>2</v>
      </c>
      <c r="U339">
        <f t="shared" si="5"/>
        <v>0</v>
      </c>
    </row>
    <row r="340" spans="8:21" x14ac:dyDescent="0.35">
      <c r="H340" s="7" t="str">
        <v>T</v>
      </c>
      <c r="J340" t="str">
        <v>L</v>
      </c>
      <c r="K340" t="str">
        <v>Tieck</v>
      </c>
      <c r="L340" t="str">
        <v>Ludwig Tieck</v>
      </c>
      <c r="M340" t="e">
        <f t="array" ref="M340">VLOOKUP(L340,books!B337,1,0)</f>
        <v>#N/A</v>
      </c>
      <c r="N340">
        <f>COUNTA(books!C339:'books'!ZZ339)</f>
        <v>1</v>
      </c>
      <c r="O340">
        <f t="array" ref="O340">AVERAGE(rating!C339:'rating'!ZZ339)</f>
        <v>6</v>
      </c>
      <c r="P340">
        <f>SUM(COUNTIF(rating!C339:ZZ339, 10))</f>
        <v>0</v>
      </c>
      <c r="R340">
        <f>COUNTA(year!C339:ZZ339)</f>
        <v>1</v>
      </c>
      <c r="S340">
        <f>COUNTA(books!C339:ZZ339)</f>
        <v>1</v>
      </c>
      <c r="T340">
        <f>COUNTA(rating!C339:ZZ339)</f>
        <v>1</v>
      </c>
      <c r="U340">
        <f t="shared" si="5"/>
        <v>0</v>
      </c>
    </row>
    <row r="341" spans="8:21" x14ac:dyDescent="0.35">
      <c r="H341" s="7" t="str">
        <v>S</v>
      </c>
      <c r="J341" t="str">
        <v>O</v>
      </c>
      <c r="K341" t="str">
        <v>Skye</v>
      </c>
      <c r="L341" t="str">
        <v>Obert Skye</v>
      </c>
      <c r="M341" t="e">
        <f t="array" ref="M341">VLOOKUP(L341,books!B338,1,0)</f>
        <v>#N/A</v>
      </c>
      <c r="N341">
        <f>COUNTA(books!C340:'books'!ZZ340)</f>
        <v>5</v>
      </c>
      <c r="O341">
        <f t="array" ref="O341">AVERAGE(rating!C340:'rating'!ZZ340)</f>
        <v>9.1999999999999993</v>
      </c>
      <c r="P341">
        <f>SUM(COUNTIF(rating!C340:ZZ340, 10))</f>
        <v>1</v>
      </c>
      <c r="R341">
        <f>COUNTA(year!C340:ZZ340)</f>
        <v>5</v>
      </c>
      <c r="S341">
        <f>COUNTA(books!C340:ZZ340)</f>
        <v>5</v>
      </c>
      <c r="T341">
        <f>COUNTA(rating!C340:ZZ340)</f>
        <v>5</v>
      </c>
      <c r="U341">
        <f t="shared" si="5"/>
        <v>0</v>
      </c>
    </row>
    <row r="342" spans="8:21" x14ac:dyDescent="0.35">
      <c r="H342" s="7" t="str">
        <v>F</v>
      </c>
      <c r="J342" t="str">
        <v>K</v>
      </c>
      <c r="K342" t="str">
        <v>Falls</v>
      </c>
      <c r="L342" t="str">
        <v>Kat Falls</v>
      </c>
      <c r="M342" t="e">
        <f t="array" ref="M342">VLOOKUP(L342,books!B339,1,0)</f>
        <v>#N/A</v>
      </c>
      <c r="N342">
        <f>COUNTA(books!C341:'books'!ZZ341)</f>
        <v>1</v>
      </c>
      <c r="O342">
        <f t="array" ref="O342">AVERAGE(rating!C341:'rating'!ZZ341)</f>
        <v>8</v>
      </c>
      <c r="P342">
        <f>SUM(COUNTIF(rating!C341:ZZ341, 10))</f>
        <v>0</v>
      </c>
      <c r="R342">
        <f>COUNTA(year!C341:ZZ341)</f>
        <v>1</v>
      </c>
      <c r="S342">
        <f>COUNTA(books!C341:ZZ341)</f>
        <v>1</v>
      </c>
      <c r="T342">
        <f>COUNTA(rating!C341:ZZ341)</f>
        <v>1</v>
      </c>
      <c r="U342">
        <f t="shared" si="5"/>
        <v>0</v>
      </c>
    </row>
    <row r="343" spans="8:21" x14ac:dyDescent="0.35">
      <c r="H343" s="7" t="str">
        <v>C</v>
      </c>
      <c r="J343" t="str">
        <v>M</v>
      </c>
      <c r="K343" t="str">
        <v>Chabon</v>
      </c>
      <c r="L343" t="str">
        <v>Michael Chabon</v>
      </c>
      <c r="M343" t="e">
        <f t="array" ref="M343">VLOOKUP(L343,books!B340,1,0)</f>
        <v>#N/A</v>
      </c>
      <c r="N343">
        <f>COUNTA(books!C342:'books'!ZZ342)</f>
        <v>1</v>
      </c>
      <c r="O343">
        <f t="array" ref="O343">AVERAGE(rating!C342:'rating'!ZZ342)</f>
        <v>6</v>
      </c>
      <c r="P343">
        <f>SUM(COUNTIF(rating!C342:ZZ342, 10))</f>
        <v>0</v>
      </c>
      <c r="R343">
        <f>COUNTA(year!C342:ZZ342)</f>
        <v>1</v>
      </c>
      <c r="S343">
        <f>COUNTA(books!C342:ZZ342)</f>
        <v>1</v>
      </c>
      <c r="T343">
        <f>COUNTA(rating!C342:ZZ342)</f>
        <v>1</v>
      </c>
      <c r="U343">
        <f t="shared" si="5"/>
        <v>0</v>
      </c>
    </row>
    <row r="344" spans="8:21" x14ac:dyDescent="0.35">
      <c r="H344" s="7" t="str">
        <v>C</v>
      </c>
      <c r="J344" t="str">
        <v>Z</v>
      </c>
      <c r="K344" t="str">
        <v>Corder</v>
      </c>
      <c r="L344" t="str">
        <v>Zizu Corder</v>
      </c>
      <c r="M344" t="e">
        <f t="array" ref="M344">VLOOKUP(L344,books!B341,1,0)</f>
        <v>#N/A</v>
      </c>
      <c r="N344">
        <f>COUNTA(books!C343:'books'!ZZ343)</f>
        <v>1</v>
      </c>
      <c r="O344">
        <f t="array" ref="O344">AVERAGE(rating!C343:'rating'!ZZ343)</f>
        <v>10</v>
      </c>
      <c r="P344">
        <f>SUM(COUNTIF(rating!C343:ZZ343, 10))</f>
        <v>1</v>
      </c>
      <c r="R344">
        <f>COUNTA(year!C343:ZZ343)</f>
        <v>1</v>
      </c>
      <c r="S344">
        <f>COUNTA(books!C343:ZZ343)</f>
        <v>1</v>
      </c>
      <c r="T344">
        <f>COUNTA(rating!C343:ZZ343)</f>
        <v>1</v>
      </c>
      <c r="U344">
        <f t="shared" si="5"/>
        <v>0</v>
      </c>
    </row>
    <row r="345" spans="8:21" x14ac:dyDescent="0.35">
      <c r="H345" s="7" t="str">
        <v>S</v>
      </c>
      <c r="J345" t="str">
        <v>J</v>
      </c>
      <c r="K345" t="str">
        <v>Smiley</v>
      </c>
      <c r="L345" t="str">
        <v>Jane Smiley</v>
      </c>
      <c r="M345" t="e">
        <f t="array" ref="M345">VLOOKUP(L345,books!B342,1,0)</f>
        <v>#N/A</v>
      </c>
      <c r="N345">
        <f>COUNTA(books!C344:'books'!ZZ344)</f>
        <v>1</v>
      </c>
      <c r="O345">
        <f t="array" ref="O345">AVERAGE(rating!C344:'rating'!ZZ344)</f>
        <v>9</v>
      </c>
      <c r="P345">
        <f>SUM(COUNTIF(rating!C344:ZZ344, 10))</f>
        <v>0</v>
      </c>
      <c r="R345">
        <f>COUNTA(year!C344:ZZ344)</f>
        <v>1</v>
      </c>
      <c r="S345">
        <f>COUNTA(books!C344:ZZ344)</f>
        <v>1</v>
      </c>
      <c r="T345">
        <f>COUNTA(rating!C344:ZZ344)</f>
        <v>1</v>
      </c>
      <c r="U345">
        <f t="shared" si="5"/>
        <v>0</v>
      </c>
    </row>
    <row r="346" spans="8:21" x14ac:dyDescent="0.35">
      <c r="H346" s="7" t="str">
        <v>S</v>
      </c>
      <c r="J346" t="str">
        <v>C</v>
      </c>
      <c r="K346" t="str">
        <v>Steele</v>
      </c>
      <c r="L346" t="str">
        <v>Claude Steele</v>
      </c>
      <c r="M346" t="e">
        <f t="array" ref="M346">VLOOKUP(L346,books!B343,1,0)</f>
        <v>#N/A</v>
      </c>
      <c r="N346">
        <f>COUNTA(books!C345:'books'!ZZ345)</f>
        <v>1</v>
      </c>
      <c r="O346">
        <f t="array" ref="O346">AVERAGE(rating!C345:'rating'!ZZ345)</f>
        <v>9</v>
      </c>
      <c r="P346">
        <f>SUM(COUNTIF(rating!C345:ZZ345, 10))</f>
        <v>0</v>
      </c>
      <c r="R346">
        <f>COUNTA(year!C345:ZZ345)</f>
        <v>1</v>
      </c>
      <c r="S346">
        <f>COUNTA(books!C345:ZZ345)</f>
        <v>1</v>
      </c>
      <c r="T346">
        <f>COUNTA(rating!C345:ZZ345)</f>
        <v>1</v>
      </c>
      <c r="U346">
        <f t="shared" si="5"/>
        <v>0</v>
      </c>
    </row>
    <row r="347" spans="8:21" x14ac:dyDescent="0.35">
      <c r="H347" s="7" t="str">
        <v>B</v>
      </c>
      <c r="J347" t="str">
        <v>A</v>
      </c>
      <c r="K347" t="str">
        <v>Banaji</v>
      </c>
      <c r="L347" t="str">
        <v>Anthony Greenwald and Mahzarin Banaji</v>
      </c>
      <c r="M347" t="e">
        <f t="array" ref="M347">VLOOKUP(L347,books!B344,1,0)</f>
        <v>#N/A</v>
      </c>
      <c r="N347">
        <f>COUNTA(books!C346:'books'!ZZ346)</f>
        <v>1</v>
      </c>
      <c r="O347">
        <f t="array" ref="O347">AVERAGE(rating!C346:'rating'!ZZ346)</f>
        <v>8</v>
      </c>
      <c r="P347">
        <f>SUM(COUNTIF(rating!C346:ZZ346, 10))</f>
        <v>0</v>
      </c>
      <c r="R347">
        <f>COUNTA(year!C346:ZZ346)</f>
        <v>1</v>
      </c>
      <c r="S347">
        <f>COUNTA(books!C346:ZZ346)</f>
        <v>1</v>
      </c>
      <c r="T347">
        <f>COUNTA(rating!C346:ZZ346)</f>
        <v>1</v>
      </c>
      <c r="U347">
        <f t="shared" si="5"/>
        <v>0</v>
      </c>
    </row>
    <row r="348" spans="8:21" x14ac:dyDescent="0.35">
      <c r="H348" s="7" t="str">
        <v>F</v>
      </c>
      <c r="J348" t="str">
        <v>W</v>
      </c>
      <c r="K348" t="str">
        <v>Forstchen</v>
      </c>
      <c r="L348" t="str">
        <v>William Forstchen</v>
      </c>
      <c r="M348" t="e">
        <f t="array" ref="M348">VLOOKUP(L348,books!B345,1,0)</f>
        <v>#N/A</v>
      </c>
      <c r="N348">
        <f>COUNTA(books!C347:'books'!ZZ347)</f>
        <v>1</v>
      </c>
      <c r="O348">
        <f t="array" ref="O348">AVERAGE(rating!C347:'rating'!ZZ347)</f>
        <v>9</v>
      </c>
      <c r="P348">
        <f>SUM(COUNTIF(rating!C347:ZZ347, 10))</f>
        <v>0</v>
      </c>
      <c r="R348">
        <f>COUNTA(year!C347:ZZ347)</f>
        <v>1</v>
      </c>
      <c r="S348">
        <f>COUNTA(books!C347:ZZ347)</f>
        <v>1</v>
      </c>
      <c r="T348">
        <f>COUNTA(rating!C347:ZZ347)</f>
        <v>1</v>
      </c>
      <c r="U348">
        <f t="shared" si="5"/>
        <v>0</v>
      </c>
    </row>
    <row r="349" spans="8:21" x14ac:dyDescent="0.35">
      <c r="H349" s="7" t="str">
        <v>M</v>
      </c>
      <c r="J349" t="str">
        <v>D</v>
      </c>
      <c r="K349" t="str">
        <v>Montgomery</v>
      </c>
      <c r="L349" t="str">
        <v>David Montgomery</v>
      </c>
      <c r="M349" t="e">
        <f t="array" ref="M349">VLOOKUP(L349,books!B346,1,0)</f>
        <v>#N/A</v>
      </c>
      <c r="N349">
        <f>COUNTA(books!C348:'books'!ZZ348)</f>
        <v>1</v>
      </c>
      <c r="O349">
        <f t="array" ref="O349">AVERAGE(rating!C348:'rating'!ZZ348)</f>
        <v>8</v>
      </c>
      <c r="P349">
        <f>SUM(COUNTIF(rating!C348:ZZ348, 10))</f>
        <v>0</v>
      </c>
      <c r="R349">
        <f>COUNTA(year!C348:ZZ348)</f>
        <v>1</v>
      </c>
      <c r="S349">
        <f>COUNTA(books!C348:ZZ348)</f>
        <v>1</v>
      </c>
      <c r="T349">
        <f>COUNTA(rating!C348:ZZ348)</f>
        <v>1</v>
      </c>
      <c r="U349">
        <f t="shared" si="5"/>
        <v>0</v>
      </c>
    </row>
    <row r="350" spans="8:21" x14ac:dyDescent="0.35">
      <c r="H350" s="7" t="str">
        <v>Z</v>
      </c>
      <c r="J350" t="str">
        <v>P</v>
      </c>
      <c r="K350" t="str">
        <v>Zeihan</v>
      </c>
      <c r="L350" t="str">
        <v>Peter Zeihan</v>
      </c>
      <c r="M350" t="e">
        <f t="array" ref="M350">VLOOKUP(L350,books!B347,1,0)</f>
        <v>#N/A</v>
      </c>
      <c r="N350">
        <f>COUNTA(books!C349:'books'!ZZ349)</f>
        <v>1</v>
      </c>
      <c r="O350">
        <f t="array" ref="O350">AVERAGE(rating!C349:'rating'!ZZ349)</f>
        <v>9</v>
      </c>
      <c r="P350">
        <f>SUM(COUNTIF(rating!C349:ZZ349, 10))</f>
        <v>0</v>
      </c>
      <c r="R350">
        <f>COUNTA(year!C349:ZZ349)</f>
        <v>1</v>
      </c>
      <c r="S350">
        <f>COUNTA(books!C349:ZZ349)</f>
        <v>1</v>
      </c>
      <c r="T350">
        <f>COUNTA(rating!C349:ZZ349)</f>
        <v>1</v>
      </c>
      <c r="U350">
        <f t="shared" si="5"/>
        <v>0</v>
      </c>
    </row>
    <row r="351" spans="8:21" x14ac:dyDescent="0.35">
      <c r="H351" s="7" t="str">
        <v>S</v>
      </c>
      <c r="J351" t="str">
        <v>T</v>
      </c>
      <c r="K351" t="str">
        <v>Strasser</v>
      </c>
      <c r="L351" t="str">
        <v>Todd Strasser</v>
      </c>
      <c r="M351" t="e">
        <f t="array" ref="M351">VLOOKUP(L351,books!B348,1,0)</f>
        <v>#N/A</v>
      </c>
      <c r="N351">
        <f>COUNTA(books!C350:'books'!ZZ350)</f>
        <v>1</v>
      </c>
      <c r="O351">
        <f t="array" ref="O351">AVERAGE(rating!C350:'rating'!ZZ350)</f>
        <v>7</v>
      </c>
      <c r="P351">
        <f>SUM(COUNTIF(rating!C350:ZZ350, 10))</f>
        <v>0</v>
      </c>
      <c r="R351">
        <f>COUNTA(year!C350:ZZ350)</f>
        <v>1</v>
      </c>
      <c r="S351">
        <f>COUNTA(books!C350:ZZ350)</f>
        <v>1</v>
      </c>
      <c r="T351">
        <f>COUNTA(rating!C350:ZZ350)</f>
        <v>1</v>
      </c>
      <c r="U351">
        <f t="shared" si="5"/>
        <v>0</v>
      </c>
    </row>
    <row r="352" spans="8:21" x14ac:dyDescent="0.35">
      <c r="H352" s="7" t="str">
        <v>L</v>
      </c>
      <c r="J352" t="str">
        <v>G</v>
      </c>
      <c r="K352" t="str">
        <v>Lessing</v>
      </c>
      <c r="L352" t="str">
        <v>G.E. Lessing</v>
      </c>
      <c r="M352" t="e">
        <f t="array" ref="M352">VLOOKUP(L352,books!B349,1,0)</f>
        <v>#N/A</v>
      </c>
      <c r="N352">
        <f>COUNTA(books!C351:'books'!ZZ351)</f>
        <v>1</v>
      </c>
      <c r="O352">
        <f t="array" ref="O352">AVERAGE(rating!C351:'rating'!ZZ351)</f>
        <v>7</v>
      </c>
      <c r="P352">
        <f>SUM(COUNTIF(rating!C351:ZZ351, 10))</f>
        <v>0</v>
      </c>
      <c r="R352">
        <f>COUNTA(year!C351:ZZ351)</f>
        <v>1</v>
      </c>
      <c r="S352">
        <f>COUNTA(books!C351:ZZ351)</f>
        <v>1</v>
      </c>
      <c r="T352">
        <f>COUNTA(rating!C351:ZZ351)</f>
        <v>1</v>
      </c>
      <c r="U352">
        <f t="shared" si="5"/>
        <v>0</v>
      </c>
    </row>
    <row r="353" spans="8:21" x14ac:dyDescent="0.35">
      <c r="H353" s="7" t="str">
        <v>E</v>
      </c>
      <c r="J353" t="str">
        <v>D</v>
      </c>
      <c r="K353" t="str">
        <v>Eggers</v>
      </c>
      <c r="L353" t="str">
        <v>Dave Eggers</v>
      </c>
      <c r="M353" t="e">
        <f t="array" ref="M353">VLOOKUP(L353,books!B350,1,0)</f>
        <v>#N/A</v>
      </c>
      <c r="N353">
        <f>COUNTA(books!C352:'books'!ZZ352)</f>
        <v>1</v>
      </c>
      <c r="O353">
        <f t="array" ref="O353">AVERAGE(rating!C352:'rating'!ZZ352)</f>
        <v>9</v>
      </c>
      <c r="P353">
        <f>SUM(COUNTIF(rating!C352:ZZ352, 10))</f>
        <v>0</v>
      </c>
      <c r="R353">
        <f>COUNTA(year!C352:ZZ352)</f>
        <v>1</v>
      </c>
      <c r="S353">
        <f>COUNTA(books!C352:ZZ352)</f>
        <v>1</v>
      </c>
      <c r="T353">
        <f>COUNTA(rating!C352:ZZ352)</f>
        <v>1</v>
      </c>
      <c r="U353">
        <f t="shared" si="5"/>
        <v>0</v>
      </c>
    </row>
    <row r="354" spans="8:21" x14ac:dyDescent="0.35">
      <c r="H354" s="7" t="str">
        <v>L</v>
      </c>
      <c r="J354" t="str">
        <v>M</v>
      </c>
      <c r="K354" t="str">
        <v>Lee</v>
      </c>
      <c r="L354" t="str">
        <v>Min Jin Lee</v>
      </c>
      <c r="M354" t="e">
        <f t="array" ref="M354">VLOOKUP(L354,books!B351,1,0)</f>
        <v>#N/A</v>
      </c>
      <c r="N354">
        <f>COUNTA(books!C353:'books'!ZZ353)</f>
        <v>1</v>
      </c>
      <c r="O354">
        <f t="array" ref="O354">AVERAGE(rating!C353:'rating'!ZZ353)</f>
        <v>10</v>
      </c>
      <c r="P354">
        <f>SUM(COUNTIF(rating!C353:ZZ353, 10))</f>
        <v>1</v>
      </c>
      <c r="R354">
        <f>COUNTA(year!C353:ZZ353)</f>
        <v>1</v>
      </c>
      <c r="S354">
        <f>COUNTA(books!C353:ZZ353)</f>
        <v>1</v>
      </c>
      <c r="T354">
        <f>COUNTA(rating!C353:ZZ353)</f>
        <v>1</v>
      </c>
      <c r="U354">
        <f t="shared" si="5"/>
        <v>0</v>
      </c>
    </row>
    <row r="355" spans="8:21" x14ac:dyDescent="0.35">
      <c r="H355" s="7" t="str">
        <v>D</v>
      </c>
      <c r="J355" t="str">
        <v>R</v>
      </c>
      <c r="K355" t="str">
        <v>Daniels</v>
      </c>
      <c r="L355" t="str">
        <v>Roger Daniels</v>
      </c>
      <c r="M355" t="e">
        <f t="array" ref="M355">VLOOKUP(L355,books!B352,1,0)</f>
        <v>#N/A</v>
      </c>
      <c r="N355">
        <f>COUNTA(books!C354:'books'!ZZ354)</f>
        <v>1</v>
      </c>
      <c r="O355">
        <f t="array" ref="O355">AVERAGE(rating!C354:'rating'!ZZ354)</f>
        <v>4</v>
      </c>
      <c r="P355">
        <f>SUM(COUNTIF(rating!C354:ZZ354, 10))</f>
        <v>0</v>
      </c>
      <c r="R355">
        <f>COUNTA(year!C354:ZZ354)</f>
        <v>1</v>
      </c>
      <c r="S355">
        <f>COUNTA(books!C354:ZZ354)</f>
        <v>1</v>
      </c>
      <c r="T355">
        <f>COUNTA(rating!C354:ZZ354)</f>
        <v>1</v>
      </c>
      <c r="U355">
        <f t="shared" si="5"/>
        <v>0</v>
      </c>
    </row>
    <row r="356" spans="8:21" x14ac:dyDescent="0.35">
      <c r="H356" s="7" t="str">
        <v>F</v>
      </c>
      <c r="J356" t="str">
        <v>J</v>
      </c>
      <c r="K356" t="str">
        <v>Fergus</v>
      </c>
      <c r="L356" t="str">
        <v>Jim Fergus</v>
      </c>
      <c r="M356" t="e">
        <f t="array" ref="M356">VLOOKUP(L356,books!B353,1,0)</f>
        <v>#N/A</v>
      </c>
      <c r="N356">
        <f>COUNTA(books!C355:'books'!ZZ355)</f>
        <v>1</v>
      </c>
      <c r="O356">
        <f t="array" ref="O356">AVERAGE(rating!C355:'rating'!ZZ355)</f>
        <v>1</v>
      </c>
      <c r="P356">
        <f>SUM(COUNTIF(rating!C355:ZZ355, 10))</f>
        <v>0</v>
      </c>
      <c r="R356">
        <f>COUNTA(year!C355:ZZ355)</f>
        <v>1</v>
      </c>
      <c r="S356">
        <f>COUNTA(books!C355:ZZ355)</f>
        <v>1</v>
      </c>
      <c r="T356">
        <f>COUNTA(rating!C355:ZZ355)</f>
        <v>1</v>
      </c>
      <c r="U356">
        <f t="shared" si="5"/>
        <v>0</v>
      </c>
    </row>
    <row r="357" spans="8:21" x14ac:dyDescent="0.35">
      <c r="H357" s="7" t="str">
        <v>E</v>
      </c>
      <c r="J357" t="str">
        <v>S</v>
      </c>
      <c r="K357" t="str">
        <v>Elegant</v>
      </c>
      <c r="L357" t="str">
        <v>Simon Elegant</v>
      </c>
      <c r="M357" t="e">
        <f t="array" ref="M357">VLOOKUP(L357,books!B354,1,0)</f>
        <v>#N/A</v>
      </c>
      <c r="N357">
        <f>COUNTA(books!C356:'books'!ZZ356)</f>
        <v>1</v>
      </c>
      <c r="O357">
        <f t="array" ref="O357">AVERAGE(rating!C356:'rating'!ZZ356)</f>
        <v>6</v>
      </c>
      <c r="P357">
        <f>SUM(COUNTIF(rating!C356:ZZ356, 10))</f>
        <v>0</v>
      </c>
      <c r="R357">
        <f>COUNTA(year!C356:ZZ356)</f>
        <v>1</v>
      </c>
      <c r="S357">
        <f>COUNTA(books!C356:ZZ356)</f>
        <v>1</v>
      </c>
      <c r="T357">
        <f>COUNTA(rating!C356:ZZ356)</f>
        <v>1</v>
      </c>
      <c r="U357">
        <f t="shared" si="5"/>
        <v>0</v>
      </c>
    </row>
    <row r="358" spans="8:21" x14ac:dyDescent="0.35">
      <c r="H358" s="7" t="str">
        <v>M</v>
      </c>
      <c r="J358" t="str">
        <v>H</v>
      </c>
      <c r="K358" t="str">
        <v>Morris</v>
      </c>
      <c r="L358" t="str">
        <v>Heather Morris</v>
      </c>
      <c r="M358" t="e">
        <f t="array" ref="M358">VLOOKUP(L358,books!B355,1,0)</f>
        <v>#N/A</v>
      </c>
      <c r="N358">
        <f>COUNTA(books!C357:'books'!ZZ357)</f>
        <v>1</v>
      </c>
      <c r="O358">
        <f t="array" ref="O358">AVERAGE(rating!C357:'rating'!ZZ357)</f>
        <v>5</v>
      </c>
      <c r="P358">
        <f>SUM(COUNTIF(rating!C357:ZZ357, 10))</f>
        <v>0</v>
      </c>
      <c r="R358">
        <f>COUNTA(year!C357:ZZ357)</f>
        <v>1</v>
      </c>
      <c r="S358">
        <f>COUNTA(books!C357:ZZ357)</f>
        <v>1</v>
      </c>
      <c r="T358">
        <f>COUNTA(rating!C357:ZZ357)</f>
        <v>1</v>
      </c>
      <c r="U358">
        <f t="shared" si="5"/>
        <v>0</v>
      </c>
    </row>
    <row r="359" spans="8:21" x14ac:dyDescent="0.35">
      <c r="H359" s="7" t="str">
        <v>G</v>
      </c>
      <c r="J359" t="str">
        <v>L</v>
      </c>
      <c r="K359" t="str">
        <v>Groff</v>
      </c>
      <c r="L359" t="str">
        <v>Lauren Groff</v>
      </c>
      <c r="M359" t="e">
        <f t="array" ref="M359">VLOOKUP(L359,books!B356,1,0)</f>
        <v>#N/A</v>
      </c>
      <c r="N359">
        <f>COUNTA(books!C358:'books'!ZZ358)</f>
        <v>2</v>
      </c>
      <c r="O359">
        <f t="array" ref="O359">AVERAGE(rating!C358:'rating'!ZZ358)</f>
        <v>7</v>
      </c>
      <c r="P359">
        <f>SUM(COUNTIF(rating!C358:ZZ358, 10))</f>
        <v>0</v>
      </c>
      <c r="R359">
        <f>COUNTA(year!C358:ZZ358)</f>
        <v>2</v>
      </c>
      <c r="S359">
        <f>COUNTA(books!C358:ZZ358)</f>
        <v>2</v>
      </c>
      <c r="T359">
        <f>COUNTA(rating!C358:ZZ358)</f>
        <v>2</v>
      </c>
      <c r="U359">
        <f t="shared" si="5"/>
        <v>0</v>
      </c>
    </row>
    <row r="360" spans="8:21" x14ac:dyDescent="0.35">
      <c r="H360" s="7" t="str">
        <v>P</v>
      </c>
      <c r="J360" t="str">
        <v>S</v>
      </c>
      <c r="K360" t="str">
        <v>Powers</v>
      </c>
      <c r="L360" t="str">
        <v>Susan Powers</v>
      </c>
      <c r="M360" t="e">
        <f t="array" ref="M360">VLOOKUP(L360,books!B357,1,0)</f>
        <v>#N/A</v>
      </c>
      <c r="N360">
        <f>COUNTA(books!C359:'books'!ZZ359)</f>
        <v>1</v>
      </c>
      <c r="O360">
        <f t="array" ref="O360">AVERAGE(rating!C359:'rating'!ZZ359)</f>
        <v>10</v>
      </c>
      <c r="P360">
        <f>SUM(COUNTIF(rating!C359:ZZ359, 10))</f>
        <v>1</v>
      </c>
      <c r="R360">
        <f>COUNTA(year!C359:ZZ359)</f>
        <v>1</v>
      </c>
      <c r="S360">
        <f>COUNTA(books!C359:ZZ359)</f>
        <v>1</v>
      </c>
      <c r="T360">
        <f>COUNTA(rating!C359:ZZ359)</f>
        <v>1</v>
      </c>
      <c r="U360">
        <f t="shared" si="5"/>
        <v>0</v>
      </c>
    </row>
    <row r="361" spans="8:21" x14ac:dyDescent="0.35">
      <c r="H361" s="7" t="str">
        <v>J</v>
      </c>
      <c r="J361" t="str">
        <v>D</v>
      </c>
      <c r="K361" t="str">
        <v>Jeremiah</v>
      </c>
      <c r="L361" t="str">
        <v>David Jeremiah</v>
      </c>
      <c r="M361" t="e">
        <f t="array" ref="M361">VLOOKUP(L361,books!B358,1,0)</f>
        <v>#N/A</v>
      </c>
      <c r="N361">
        <f>COUNTA(books!C360:'books'!ZZ360)</f>
        <v>1</v>
      </c>
      <c r="O361">
        <f t="array" ref="O361">AVERAGE(rating!C360:'rating'!ZZ360)</f>
        <v>7</v>
      </c>
      <c r="P361">
        <f>SUM(COUNTIF(rating!C360:ZZ360, 10))</f>
        <v>0</v>
      </c>
      <c r="R361">
        <f>COUNTA(year!C360:ZZ360)</f>
        <v>1</v>
      </c>
      <c r="S361">
        <f>COUNTA(books!C360:ZZ360)</f>
        <v>1</v>
      </c>
      <c r="T361">
        <f>COUNTA(rating!C360:ZZ360)</f>
        <v>1</v>
      </c>
      <c r="U361">
        <f t="shared" si="5"/>
        <v>0</v>
      </c>
    </row>
    <row r="362" spans="8:21" x14ac:dyDescent="0.35">
      <c r="H362" s="7" t="str">
        <v>B</v>
      </c>
      <c r="J362" t="str">
        <v>R</v>
      </c>
      <c r="K362" t="str">
        <v>Balko</v>
      </c>
      <c r="L362" t="str">
        <v>Radley Balko</v>
      </c>
      <c r="M362" t="e">
        <f t="array" ref="M362">VLOOKUP(L362,books!B359,1,0)</f>
        <v>#N/A</v>
      </c>
      <c r="N362">
        <f>COUNTA(books!C361:'books'!ZZ361)</f>
        <v>1</v>
      </c>
      <c r="O362">
        <f t="array" ref="O362">AVERAGE(rating!C361:'rating'!ZZ361)</f>
        <v>8</v>
      </c>
      <c r="P362">
        <f>SUM(COUNTIF(rating!C361:ZZ361, 10))</f>
        <v>0</v>
      </c>
      <c r="R362">
        <f>COUNTA(year!C361:ZZ361)</f>
        <v>1</v>
      </c>
      <c r="S362">
        <f>COUNTA(books!C361:ZZ361)</f>
        <v>1</v>
      </c>
      <c r="T362">
        <f>COUNTA(rating!C361:ZZ361)</f>
        <v>1</v>
      </c>
      <c r="U362">
        <f t="shared" si="5"/>
        <v>0</v>
      </c>
    </row>
    <row r="363" spans="8:21" x14ac:dyDescent="0.35">
      <c r="H363" s="7" t="str">
        <v>A</v>
      </c>
      <c r="J363" t="str">
        <v>C</v>
      </c>
      <c r="K363" t="str">
        <v>Achebe</v>
      </c>
      <c r="L363" t="str">
        <v>Chinua Achebe</v>
      </c>
      <c r="M363" t="e">
        <f t="array" ref="M363">VLOOKUP(L363,books!B360,1,0)</f>
        <v>#N/A</v>
      </c>
      <c r="N363">
        <f>COUNTA(books!C362:'books'!ZZ362)</f>
        <v>3</v>
      </c>
      <c r="O363">
        <f t="array" ref="O363">AVERAGE(rating!C362:'rating'!ZZ362)</f>
        <v>10</v>
      </c>
      <c r="P363">
        <f>SUM(COUNTIF(rating!C362:ZZ362, 10))</f>
        <v>3</v>
      </c>
      <c r="R363">
        <f>COUNTA(year!C362:ZZ362)</f>
        <v>3</v>
      </c>
      <c r="S363">
        <f>COUNTA(books!C362:ZZ362)</f>
        <v>3</v>
      </c>
      <c r="T363">
        <f>COUNTA(rating!C362:ZZ362)</f>
        <v>3</v>
      </c>
      <c r="U363">
        <f t="shared" si="5"/>
        <v>0</v>
      </c>
    </row>
    <row r="364" spans="8:21" x14ac:dyDescent="0.35">
      <c r="H364" s="7" t="str">
        <v>G</v>
      </c>
      <c r="J364" t="str">
        <v>B</v>
      </c>
      <c r="K364" t="str">
        <v>Goldfarb</v>
      </c>
      <c r="L364" t="str">
        <v>Ben Goldfarb</v>
      </c>
      <c r="M364" t="e">
        <f t="array" ref="M364">VLOOKUP(L364,books!B361,1,0)</f>
        <v>#N/A</v>
      </c>
      <c r="N364">
        <f>COUNTA(books!C363:'books'!ZZ363)</f>
        <v>1</v>
      </c>
      <c r="O364">
        <f t="array" ref="O364">AVERAGE(rating!C363:'rating'!ZZ363)</f>
        <v>10</v>
      </c>
      <c r="P364">
        <f>SUM(COUNTIF(rating!C363:ZZ363, 10))</f>
        <v>1</v>
      </c>
      <c r="R364">
        <f>COUNTA(year!C363:ZZ363)</f>
        <v>1</v>
      </c>
      <c r="S364">
        <f>COUNTA(books!C363:ZZ363)</f>
        <v>1</v>
      </c>
      <c r="T364">
        <f>COUNTA(rating!C363:ZZ363)</f>
        <v>1</v>
      </c>
      <c r="U364">
        <f t="shared" si="5"/>
        <v>0</v>
      </c>
    </row>
    <row r="365" spans="8:21" x14ac:dyDescent="0.35">
      <c r="H365" s="7" t="str">
        <v>E</v>
      </c>
      <c r="J365" t="str">
        <v>A</v>
      </c>
      <c r="K365" t="str">
        <v>Emezi</v>
      </c>
      <c r="L365" t="str">
        <v>Akwaeke Emezi</v>
      </c>
      <c r="M365" t="e">
        <f t="array" ref="M365">VLOOKUP(L365,books!B362,1,0)</f>
        <v>#N/A</v>
      </c>
      <c r="N365">
        <f>COUNTA(books!C364:'books'!ZZ364)</f>
        <v>1</v>
      </c>
      <c r="O365">
        <f t="array" ref="O365">AVERAGE(rating!C364:'rating'!ZZ364)</f>
        <v>10</v>
      </c>
      <c r="P365">
        <f>SUM(COUNTIF(rating!C364:ZZ364, 10))</f>
        <v>1</v>
      </c>
      <c r="R365">
        <f>COUNTA(year!C364:ZZ364)</f>
        <v>1</v>
      </c>
      <c r="S365">
        <f>COUNTA(books!C364:ZZ364)</f>
        <v>1</v>
      </c>
      <c r="T365">
        <f>COUNTA(rating!C364:ZZ364)</f>
        <v>1</v>
      </c>
      <c r="U365">
        <f t="shared" si="5"/>
        <v>0</v>
      </c>
    </row>
    <row r="366" spans="8:21" x14ac:dyDescent="0.35">
      <c r="H366" s="7" t="str">
        <v>F</v>
      </c>
      <c r="J366" t="str">
        <v>K</v>
      </c>
      <c r="K366" t="str">
        <v>Follette</v>
      </c>
      <c r="L366" t="str">
        <v>Ken Follette</v>
      </c>
      <c r="M366" t="e">
        <f t="array" ref="M366">VLOOKUP(L366,books!B363,1,0)</f>
        <v>#N/A</v>
      </c>
      <c r="N366">
        <f>COUNTA(books!C365:'books'!ZZ365)</f>
        <v>1</v>
      </c>
      <c r="O366">
        <f t="array" ref="O366">AVERAGE(rating!C365:'rating'!ZZ365)</f>
        <v>10</v>
      </c>
      <c r="P366">
        <f>SUM(COUNTIF(rating!C365:ZZ365, 10))</f>
        <v>1</v>
      </c>
      <c r="R366">
        <f>COUNTA(year!C365:ZZ365)</f>
        <v>1</v>
      </c>
      <c r="S366">
        <f>COUNTA(books!C365:ZZ365)</f>
        <v>1</v>
      </c>
      <c r="T366">
        <f>COUNTA(rating!C365:ZZ365)</f>
        <v>1</v>
      </c>
      <c r="U366">
        <f t="shared" si="5"/>
        <v>0</v>
      </c>
    </row>
    <row r="367" spans="8:21" x14ac:dyDescent="0.35">
      <c r="H367" s="7" t="str">
        <v>F</v>
      </c>
      <c r="J367" t="str">
        <v>S</v>
      </c>
      <c r="K367" t="str">
        <v>Frazier</v>
      </c>
      <c r="L367" t="str">
        <v>Sundee Tucker Frazier</v>
      </c>
      <c r="M367" t="e">
        <f t="array" ref="M367">VLOOKUP(L367,books!B364,1,0)</f>
        <v>#N/A</v>
      </c>
      <c r="N367">
        <f>COUNTA(books!C366:'books'!ZZ366)</f>
        <v>1</v>
      </c>
      <c r="O367">
        <f t="array" ref="O367">AVERAGE(rating!C366:'rating'!ZZ366)</f>
        <v>9</v>
      </c>
      <c r="P367">
        <f>SUM(COUNTIF(rating!C366:ZZ366, 10))</f>
        <v>0</v>
      </c>
      <c r="R367">
        <f>COUNTA(year!C366:ZZ366)</f>
        <v>1</v>
      </c>
      <c r="S367">
        <f>COUNTA(books!C366:ZZ366)</f>
        <v>1</v>
      </c>
      <c r="T367">
        <f>COUNTA(rating!C366:ZZ366)</f>
        <v>1</v>
      </c>
      <c r="U367">
        <f t="shared" si="5"/>
        <v>0</v>
      </c>
    </row>
    <row r="368" spans="8:21" x14ac:dyDescent="0.35">
      <c r="H368" s="7" t="str">
        <v>T</v>
      </c>
      <c r="J368" t="str">
        <v>K</v>
      </c>
      <c r="K368" t="str">
        <v>Tallbear</v>
      </c>
      <c r="L368" t="str">
        <v>Kim Tallbear</v>
      </c>
      <c r="M368" t="e">
        <f t="array" ref="M368">VLOOKUP(L368,books!B365,1,0)</f>
        <v>#N/A</v>
      </c>
      <c r="N368">
        <f>COUNTA(books!C367:'books'!ZZ367)</f>
        <v>1</v>
      </c>
      <c r="O368">
        <f t="array" ref="O368">AVERAGE(rating!C367:'rating'!ZZ367)</f>
        <v>8</v>
      </c>
      <c r="P368">
        <f>SUM(COUNTIF(rating!C367:ZZ367, 10))</f>
        <v>0</v>
      </c>
      <c r="R368">
        <f>COUNTA(year!C367:ZZ367)</f>
        <v>1</v>
      </c>
      <c r="S368">
        <f>COUNTA(books!C367:ZZ367)</f>
        <v>1</v>
      </c>
      <c r="T368">
        <f>COUNTA(rating!C367:ZZ367)</f>
        <v>1</v>
      </c>
      <c r="U368">
        <f t="shared" si="5"/>
        <v>0</v>
      </c>
    </row>
    <row r="369" spans="8:21" x14ac:dyDescent="0.35">
      <c r="H369" s="7" t="str">
        <v>D</v>
      </c>
      <c r="J369" t="str">
        <v>T</v>
      </c>
      <c r="K369" t="str">
        <v>Dekker</v>
      </c>
      <c r="L369" t="str">
        <v>Ted Dekker</v>
      </c>
      <c r="M369" t="e">
        <f t="array" ref="M369">VLOOKUP(L369,books!B366,1,0)</f>
        <v>#N/A</v>
      </c>
      <c r="N369">
        <f>COUNTA(books!C368:'books'!ZZ368)</f>
        <v>3</v>
      </c>
      <c r="O369">
        <f t="array" ref="O369">AVERAGE(rating!C368:'rating'!ZZ368)</f>
        <v>8</v>
      </c>
      <c r="P369">
        <f>SUM(COUNTIF(rating!C368:ZZ368, 10))</f>
        <v>0</v>
      </c>
      <c r="R369">
        <f>COUNTA(year!C368:ZZ368)</f>
        <v>3</v>
      </c>
      <c r="S369">
        <f>COUNTA(books!C368:ZZ368)</f>
        <v>3</v>
      </c>
      <c r="T369">
        <f>COUNTA(rating!C368:ZZ368)</f>
        <v>3</v>
      </c>
      <c r="U369">
        <f t="shared" si="5"/>
        <v>0</v>
      </c>
    </row>
    <row r="370" spans="8:21" x14ac:dyDescent="0.35">
      <c r="H370" s="7" t="str">
        <v>S</v>
      </c>
      <c r="J370" t="str">
        <v>P</v>
      </c>
      <c r="K370" t="str">
        <v>Sorrentino</v>
      </c>
      <c r="L370" t="str">
        <v>Paul Sorrentino</v>
      </c>
      <c r="M370" t="e">
        <f t="array" ref="M370">VLOOKUP(L370,books!B367,1,0)</f>
        <v>#N/A</v>
      </c>
      <c r="N370">
        <f>COUNTA(books!C369:'books'!ZZ369)</f>
        <v>1</v>
      </c>
      <c r="O370">
        <f t="array" ref="O370">AVERAGE(rating!C369:'rating'!ZZ369)</f>
        <v>7</v>
      </c>
      <c r="P370">
        <f>SUM(COUNTIF(rating!C369:ZZ369, 10))</f>
        <v>0</v>
      </c>
      <c r="R370">
        <f>COUNTA(year!C369:ZZ369)</f>
        <v>1</v>
      </c>
      <c r="S370">
        <f>COUNTA(books!C369:ZZ369)</f>
        <v>1</v>
      </c>
      <c r="T370">
        <f>COUNTA(rating!C369:ZZ369)</f>
        <v>1</v>
      </c>
      <c r="U370">
        <f t="shared" si="5"/>
        <v>0</v>
      </c>
    </row>
    <row r="371" spans="8:21" x14ac:dyDescent="0.35">
      <c r="H371" s="7" t="str">
        <v>S</v>
      </c>
      <c r="J371" t="str">
        <v>C</v>
      </c>
      <c r="K371" t="str">
        <v>Saunt</v>
      </c>
      <c r="L371" t="str">
        <v>Claudio Saunt</v>
      </c>
      <c r="M371" t="e">
        <f t="array" ref="M371">VLOOKUP(L371,books!B368,1,0)</f>
        <v>#N/A</v>
      </c>
      <c r="N371">
        <f>COUNTA(books!C370:'books'!ZZ370)</f>
        <v>1</v>
      </c>
      <c r="O371">
        <f t="array" ref="O371">AVERAGE(rating!C370:'rating'!ZZ370)</f>
        <v>8</v>
      </c>
      <c r="P371">
        <f>SUM(COUNTIF(rating!C370:ZZ370, 10))</f>
        <v>0</v>
      </c>
      <c r="R371">
        <f>COUNTA(year!C370:ZZ370)</f>
        <v>1</v>
      </c>
      <c r="S371">
        <f>COUNTA(books!C370:ZZ370)</f>
        <v>1</v>
      </c>
      <c r="T371">
        <f>COUNTA(rating!C370:ZZ370)</f>
        <v>1</v>
      </c>
      <c r="U371">
        <f t="shared" si="5"/>
        <v>0</v>
      </c>
    </row>
    <row r="372" spans="8:21" x14ac:dyDescent="0.35">
      <c r="H372" s="7" t="str">
        <v>S</v>
      </c>
      <c r="J372" t="str">
        <v>S</v>
      </c>
      <c r="K372" t="str">
        <v>Segovia</v>
      </c>
      <c r="L372" t="str">
        <v>Sofía Segovia</v>
      </c>
      <c r="M372" t="e">
        <f t="array" ref="M372">VLOOKUP(L372,books!B369,1,0)</f>
        <v>#N/A</v>
      </c>
      <c r="N372">
        <f>COUNTA(books!C371:'books'!ZZ371)</f>
        <v>1</v>
      </c>
      <c r="O372">
        <f t="array" ref="O372">AVERAGE(rating!C371:'rating'!ZZ371)</f>
        <v>10</v>
      </c>
      <c r="P372">
        <f>SUM(COUNTIF(rating!C371:ZZ371, 10))</f>
        <v>1</v>
      </c>
      <c r="R372">
        <f>COUNTA(year!C371:ZZ371)</f>
        <v>1</v>
      </c>
      <c r="S372">
        <f>COUNTA(books!C371:ZZ371)</f>
        <v>1</v>
      </c>
      <c r="T372">
        <f>COUNTA(rating!C371:ZZ371)</f>
        <v>1</v>
      </c>
      <c r="U372">
        <f t="shared" si="5"/>
        <v>0</v>
      </c>
    </row>
    <row r="373" spans="8:21" x14ac:dyDescent="0.35">
      <c r="H373" s="7" t="str">
        <v>S</v>
      </c>
      <c r="J373" t="str">
        <v>G</v>
      </c>
      <c r="K373" t="str">
        <v>Sider</v>
      </c>
      <c r="L373" t="str">
        <v>Gerald M. Sider</v>
      </c>
      <c r="M373" t="e">
        <f t="array" ref="M373">VLOOKUP(L373,books!B370,1,0)</f>
        <v>#N/A</v>
      </c>
      <c r="N373">
        <f>COUNTA(books!C372:'books'!ZZ372)</f>
        <v>1</v>
      </c>
      <c r="O373">
        <f t="array" ref="O373">AVERAGE(rating!C372:'rating'!ZZ372)</f>
        <v>7</v>
      </c>
      <c r="P373">
        <f>SUM(COUNTIF(rating!C372:ZZ372, 10))</f>
        <v>0</v>
      </c>
      <c r="R373">
        <f>COUNTA(year!C372:ZZ372)</f>
        <v>1</v>
      </c>
      <c r="S373">
        <f>COUNTA(books!C372:ZZ372)</f>
        <v>1</v>
      </c>
      <c r="T373">
        <f>COUNTA(rating!C372:ZZ372)</f>
        <v>1</v>
      </c>
      <c r="U373">
        <f t="shared" si="5"/>
        <v>0</v>
      </c>
    </row>
    <row r="374" spans="8:21" x14ac:dyDescent="0.35">
      <c r="H374" s="7" t="str">
        <v>D</v>
      </c>
      <c r="J374" t="str">
        <v>T</v>
      </c>
      <c r="K374" t="str">
        <v>Danza</v>
      </c>
      <c r="L374" t="str">
        <v>Tony Danza</v>
      </c>
      <c r="M374" t="e">
        <f t="array" ref="M374">VLOOKUP(L374,books!B371,1,0)</f>
        <v>#N/A</v>
      </c>
      <c r="N374">
        <f>COUNTA(books!C373:'books'!ZZ373)</f>
        <v>1</v>
      </c>
      <c r="O374">
        <f t="array" ref="O374">AVERAGE(rating!C373:'rating'!ZZ373)</f>
        <v>9</v>
      </c>
      <c r="P374">
        <f>SUM(COUNTIF(rating!C373:ZZ373, 10))</f>
        <v>0</v>
      </c>
      <c r="R374">
        <f>COUNTA(year!C373:ZZ373)</f>
        <v>1</v>
      </c>
      <c r="S374">
        <f>COUNTA(books!C373:ZZ373)</f>
        <v>1</v>
      </c>
      <c r="T374">
        <f>COUNTA(rating!C373:ZZ373)</f>
        <v>1</v>
      </c>
      <c r="U374">
        <f t="shared" si="5"/>
        <v>0</v>
      </c>
    </row>
    <row r="375" spans="8:21" x14ac:dyDescent="0.35">
      <c r="H375" s="7" t="str">
        <v>L</v>
      </c>
      <c r="J375" t="str">
        <v>T</v>
      </c>
      <c r="K375" t="str">
        <v>Lai</v>
      </c>
      <c r="L375" t="str">
        <v>Thanhha Lai</v>
      </c>
      <c r="M375" t="e">
        <f t="array" ref="M375">VLOOKUP(L375,books!B372,1,0)</f>
        <v>#N/A</v>
      </c>
      <c r="N375">
        <f>COUNTA(books!C374:'books'!ZZ374)</f>
        <v>1</v>
      </c>
      <c r="O375">
        <f t="array" ref="O375">AVERAGE(rating!C374:'rating'!ZZ374)</f>
        <v>8</v>
      </c>
      <c r="P375">
        <f>SUM(COUNTIF(rating!C374:ZZ374, 10))</f>
        <v>0</v>
      </c>
      <c r="R375">
        <f>COUNTA(year!C374:ZZ374)</f>
        <v>1</v>
      </c>
      <c r="S375">
        <f>COUNTA(books!C374:ZZ374)</f>
        <v>1</v>
      </c>
      <c r="T375">
        <f>COUNTA(rating!C374:ZZ374)</f>
        <v>1</v>
      </c>
      <c r="U375">
        <f t="shared" si="5"/>
        <v>0</v>
      </c>
    </row>
    <row r="376" spans="8:21" x14ac:dyDescent="0.35">
      <c r="H376" s="7" t="str">
        <v>K</v>
      </c>
      <c r="J376" t="str">
        <v>R</v>
      </c>
      <c r="K376" t="str">
        <v>Kimmerer</v>
      </c>
      <c r="L376" t="str">
        <v>Robin Wall Kimmerer</v>
      </c>
      <c r="M376" t="e">
        <f t="array" ref="M376">VLOOKUP(L376,books!B373,1,0)</f>
        <v>#N/A</v>
      </c>
      <c r="N376">
        <f>COUNTA(books!C375:'books'!ZZ375)</f>
        <v>1</v>
      </c>
      <c r="O376">
        <f t="array" ref="O376">AVERAGE(rating!C375:'rating'!ZZ375)</f>
        <v>10</v>
      </c>
      <c r="P376">
        <f>SUM(COUNTIF(rating!C375:ZZ375, 10))</f>
        <v>1</v>
      </c>
      <c r="R376">
        <f>COUNTA(year!C375:ZZ375)</f>
        <v>1</v>
      </c>
      <c r="S376">
        <f>COUNTA(books!C375:ZZ375)</f>
        <v>1</v>
      </c>
      <c r="T376">
        <f>COUNTA(rating!C375:ZZ375)</f>
        <v>1</v>
      </c>
      <c r="U376">
        <f t="shared" si="5"/>
        <v>0</v>
      </c>
    </row>
    <row r="377" spans="8:21" x14ac:dyDescent="0.35">
      <c r="H377" s="7" t="str">
        <v>C</v>
      </c>
      <c r="J377" t="str">
        <v>D</v>
      </c>
      <c r="K377" t="str">
        <v>Czapnik</v>
      </c>
      <c r="L377" t="str">
        <v>Dana Czapnik</v>
      </c>
      <c r="M377" t="e">
        <f t="array" ref="M377">VLOOKUP(L377,books!B374,1,0)</f>
        <v>#N/A</v>
      </c>
      <c r="N377">
        <f>COUNTA(books!C376:'books'!ZZ376)</f>
        <v>1</v>
      </c>
      <c r="O377">
        <f t="array" ref="O377">AVERAGE(rating!C376:'rating'!ZZ376)</f>
        <v>8</v>
      </c>
      <c r="P377">
        <f>SUM(COUNTIF(rating!C376:ZZ376, 10))</f>
        <v>0</v>
      </c>
      <c r="R377">
        <f>COUNTA(year!C376:ZZ376)</f>
        <v>1</v>
      </c>
      <c r="S377">
        <f>COUNTA(books!C376:ZZ376)</f>
        <v>1</v>
      </c>
      <c r="T377">
        <f>COUNTA(rating!C376:ZZ376)</f>
        <v>1</v>
      </c>
      <c r="U377">
        <f t="shared" si="5"/>
        <v>0</v>
      </c>
    </row>
    <row r="378" spans="8:21" x14ac:dyDescent="0.35">
      <c r="H378" s="7" t="str">
        <v>H</v>
      </c>
      <c r="J378" t="str">
        <v>L</v>
      </c>
      <c r="K378" t="str">
        <v>Hunt</v>
      </c>
      <c r="L378" t="str">
        <v>Lynda Mullaly Hunt</v>
      </c>
      <c r="M378" t="e">
        <f t="array" ref="M378">VLOOKUP(L378,books!B375,1,0)</f>
        <v>#N/A</v>
      </c>
      <c r="N378">
        <f>COUNTA(books!C377:'books'!ZZ377)</f>
        <v>1</v>
      </c>
      <c r="O378">
        <f t="array" ref="O378">AVERAGE(rating!C377:'rating'!ZZ377)</f>
        <v>8</v>
      </c>
      <c r="P378">
        <f>SUM(COUNTIF(rating!C377:ZZ377, 10))</f>
        <v>0</v>
      </c>
      <c r="R378">
        <f>COUNTA(year!C377:ZZ377)</f>
        <v>1</v>
      </c>
      <c r="S378">
        <f>COUNTA(books!C377:ZZ377)</f>
        <v>1</v>
      </c>
      <c r="T378">
        <f>COUNTA(rating!C377:ZZ377)</f>
        <v>1</v>
      </c>
      <c r="U378">
        <f t="shared" si="5"/>
        <v>0</v>
      </c>
    </row>
    <row r="379" spans="8:21" x14ac:dyDescent="0.35">
      <c r="H379" s="7" t="str">
        <v>P</v>
      </c>
      <c r="J379" t="str">
        <v>M</v>
      </c>
      <c r="K379" t="str">
        <v>Perkins</v>
      </c>
      <c r="L379" t="str">
        <v>Mitali Perkins</v>
      </c>
      <c r="M379" t="e">
        <f t="array" ref="M379">VLOOKUP(L379,books!B376,1,0)</f>
        <v>#N/A</v>
      </c>
      <c r="N379">
        <f>COUNTA(books!C378:'books'!ZZ378)</f>
        <v>1</v>
      </c>
      <c r="O379">
        <f t="array" ref="O379">AVERAGE(rating!C378:'rating'!ZZ378)</f>
        <v>7</v>
      </c>
      <c r="P379">
        <f>SUM(COUNTIF(rating!C378:ZZ378, 10))</f>
        <v>0</v>
      </c>
      <c r="R379">
        <f>COUNTA(year!C378:ZZ378)</f>
        <v>1</v>
      </c>
      <c r="S379">
        <f>COUNTA(books!C378:ZZ378)</f>
        <v>1</v>
      </c>
      <c r="T379">
        <f>COUNTA(rating!C378:ZZ378)</f>
        <v>1</v>
      </c>
      <c r="U379">
        <f t="shared" si="5"/>
        <v>0</v>
      </c>
    </row>
    <row r="380" spans="8:21" x14ac:dyDescent="0.35">
      <c r="H380" s="7" t="str">
        <v>S</v>
      </c>
      <c r="J380" t="str">
        <v>S</v>
      </c>
      <c r="K380" t="str">
        <v>Sekaran</v>
      </c>
      <c r="L380" t="str">
        <v>Shanthi Sekaran</v>
      </c>
      <c r="M380" t="e">
        <f t="array" ref="M380">VLOOKUP(L380,books!B377,1,0)</f>
        <v>#N/A</v>
      </c>
      <c r="N380">
        <f>COUNTA(books!C379:'books'!ZZ379)</f>
        <v>1</v>
      </c>
      <c r="O380">
        <f t="array" ref="O380">AVERAGE(rating!C379:'rating'!ZZ379)</f>
        <v>10</v>
      </c>
      <c r="P380">
        <f>SUM(COUNTIF(rating!C379:ZZ379, 10))</f>
        <v>1</v>
      </c>
      <c r="R380">
        <f>COUNTA(year!C379:ZZ379)</f>
        <v>1</v>
      </c>
      <c r="S380">
        <f>COUNTA(books!C379:ZZ379)</f>
        <v>1</v>
      </c>
      <c r="T380">
        <f>COUNTA(rating!C379:ZZ379)</f>
        <v>1</v>
      </c>
      <c r="U380">
        <f t="shared" si="5"/>
        <v>0</v>
      </c>
    </row>
    <row r="381" spans="8:21" x14ac:dyDescent="0.35">
      <c r="H381" s="7" t="str">
        <v>P</v>
      </c>
      <c r="J381" t="str">
        <v>K</v>
      </c>
      <c r="K381" t="str">
        <v>Polk</v>
      </c>
      <c r="L381" t="str">
        <v>Khary Polk</v>
      </c>
      <c r="M381" t="e">
        <f t="array" ref="M381">VLOOKUP(L381,books!B378,1,0)</f>
        <v>#N/A</v>
      </c>
      <c r="N381">
        <f>COUNTA(books!C380:'books'!ZZ380)</f>
        <v>1</v>
      </c>
      <c r="O381">
        <f t="array" ref="O381">AVERAGE(rating!C380:'rating'!ZZ380)</f>
        <v>7</v>
      </c>
      <c r="P381">
        <f>SUM(COUNTIF(rating!C380:ZZ380, 10))</f>
        <v>0</v>
      </c>
      <c r="R381">
        <f>COUNTA(year!C380:ZZ380)</f>
        <v>1</v>
      </c>
      <c r="S381">
        <f>COUNTA(books!C380:ZZ380)</f>
        <v>1</v>
      </c>
      <c r="T381">
        <f>COUNTA(rating!C380:ZZ380)</f>
        <v>1</v>
      </c>
      <c r="U381">
        <f t="shared" si="5"/>
        <v>0</v>
      </c>
    </row>
    <row r="382" spans="8:21" x14ac:dyDescent="0.35">
      <c r="H382" s="7" t="str">
        <v>O</v>
      </c>
      <c r="J382" t="str">
        <v>A</v>
      </c>
      <c r="K382" t="str">
        <v>Oh</v>
      </c>
      <c r="L382" t="str">
        <v>Axie Oh</v>
      </c>
      <c r="M382" t="e">
        <f t="array" ref="M382">VLOOKUP(L382,books!B379,1,0)</f>
        <v>#N/A</v>
      </c>
      <c r="N382">
        <f>COUNTA(books!C381:'books'!ZZ381)</f>
        <v>1</v>
      </c>
      <c r="O382">
        <f t="array" ref="O382">AVERAGE(rating!C381:'rating'!ZZ381)</f>
        <v>7</v>
      </c>
      <c r="P382">
        <f>SUM(COUNTIF(rating!C381:ZZ381, 10))</f>
        <v>0</v>
      </c>
      <c r="R382">
        <f>COUNTA(year!C381:ZZ381)</f>
        <v>1</v>
      </c>
      <c r="S382">
        <f>COUNTA(books!C381:ZZ381)</f>
        <v>1</v>
      </c>
      <c r="T382">
        <f>COUNTA(rating!C381:ZZ381)</f>
        <v>1</v>
      </c>
      <c r="U382">
        <f t="shared" si="5"/>
        <v>0</v>
      </c>
    </row>
    <row r="383" spans="8:21" x14ac:dyDescent="0.35">
      <c r="H383" s="7" t="str">
        <v>K</v>
      </c>
      <c r="J383" t="str">
        <v>M</v>
      </c>
      <c r="K383" t="str">
        <v>Korda</v>
      </c>
      <c r="L383" t="str">
        <v>Michael Korda</v>
      </c>
      <c r="M383" t="e">
        <f t="array" ref="M383">VLOOKUP(L383,books!B380,1,0)</f>
        <v>#N/A</v>
      </c>
      <c r="N383">
        <f>COUNTA(books!C382:'books'!ZZ382)</f>
        <v>1</v>
      </c>
      <c r="O383">
        <f t="array" ref="O383">AVERAGE(rating!C382:'rating'!ZZ382)</f>
        <v>9</v>
      </c>
      <c r="P383">
        <f>SUM(COUNTIF(rating!C382:ZZ382, 10))</f>
        <v>0</v>
      </c>
      <c r="R383">
        <f>COUNTA(year!C382:ZZ382)</f>
        <v>1</v>
      </c>
      <c r="S383">
        <f>COUNTA(books!C382:ZZ382)</f>
        <v>1</v>
      </c>
      <c r="T383">
        <f>COUNTA(rating!C382:ZZ382)</f>
        <v>1</v>
      </c>
      <c r="U383">
        <f t="shared" si="5"/>
        <v>0</v>
      </c>
    </row>
    <row r="384" spans="8:21" x14ac:dyDescent="0.35">
      <c r="H384" s="7" t="str">
        <v>B</v>
      </c>
      <c r="J384" t="str">
        <v>R</v>
      </c>
      <c r="K384" t="str">
        <v>Bradbury</v>
      </c>
      <c r="L384" t="str">
        <v>Ray Bradbury</v>
      </c>
      <c r="M384" t="e">
        <f t="array" ref="M384">VLOOKUP(L384,books!B381,1,0)</f>
        <v>#N/A</v>
      </c>
      <c r="N384">
        <f>COUNTA(books!C383:'books'!ZZ383)</f>
        <v>1</v>
      </c>
      <c r="O384">
        <f t="array" ref="O384">AVERAGE(rating!C383:'rating'!ZZ383)</f>
        <v>10</v>
      </c>
      <c r="P384">
        <f>SUM(COUNTIF(rating!C383:ZZ383, 10))</f>
        <v>1</v>
      </c>
      <c r="R384">
        <f>COUNTA(year!C383:ZZ383)</f>
        <v>1</v>
      </c>
      <c r="S384">
        <f>COUNTA(books!C383:ZZ383)</f>
        <v>1</v>
      </c>
      <c r="T384">
        <f>COUNTA(rating!C383:ZZ383)</f>
        <v>1</v>
      </c>
      <c r="U384">
        <f t="shared" si="5"/>
        <v>0</v>
      </c>
    </row>
    <row r="385" spans="8:21" x14ac:dyDescent="0.35">
      <c r="H385" s="7" t="str">
        <v>M</v>
      </c>
      <c r="J385" t="str">
        <v>K</v>
      </c>
      <c r="K385" t="str">
        <v>Mitchell</v>
      </c>
      <c r="L385" t="str">
        <v>Kirk Mitchell</v>
      </c>
      <c r="M385" t="e">
        <f t="array" ref="M385">VLOOKUP(L385,books!B382,1,0)</f>
        <v>#N/A</v>
      </c>
      <c r="N385">
        <f>COUNTA(books!C384:'books'!ZZ384)</f>
        <v>1</v>
      </c>
      <c r="O385">
        <f t="array" ref="O385">AVERAGE(rating!C384:'rating'!ZZ384)</f>
        <v>7</v>
      </c>
      <c r="P385">
        <f>SUM(COUNTIF(rating!C384:ZZ384, 10))</f>
        <v>0</v>
      </c>
      <c r="R385">
        <f>COUNTA(year!C384:ZZ384)</f>
        <v>1</v>
      </c>
      <c r="S385">
        <f>COUNTA(books!C384:ZZ384)</f>
        <v>1</v>
      </c>
      <c r="T385">
        <f>COUNTA(rating!C384:ZZ384)</f>
        <v>1</v>
      </c>
      <c r="U385">
        <f t="shared" si="5"/>
        <v>0</v>
      </c>
    </row>
    <row r="386" spans="8:21" x14ac:dyDescent="0.35">
      <c r="H386" s="7" t="str">
        <v>C</v>
      </c>
      <c r="J386" t="str">
        <v>J</v>
      </c>
      <c r="K386" t="str">
        <v>Campbell</v>
      </c>
      <c r="L386" t="str">
        <v>Joseph Campbell</v>
      </c>
      <c r="M386" t="e">
        <f t="array" ref="M386">VLOOKUP(L386,books!B383,1,0)</f>
        <v>#N/A</v>
      </c>
      <c r="N386">
        <f>COUNTA(books!C385:'books'!ZZ385)</f>
        <v>1</v>
      </c>
      <c r="O386">
        <f t="array" ref="O386">AVERAGE(rating!C385:'rating'!ZZ385)</f>
        <v>4</v>
      </c>
      <c r="P386">
        <f>SUM(COUNTIF(rating!C385:ZZ385, 10))</f>
        <v>0</v>
      </c>
      <c r="R386">
        <f>COUNTA(year!C385:ZZ385)</f>
        <v>1</v>
      </c>
      <c r="S386">
        <f>COUNTA(books!C385:ZZ385)</f>
        <v>1</v>
      </c>
      <c r="T386">
        <f>COUNTA(rating!C385:ZZ385)</f>
        <v>1</v>
      </c>
      <c r="U386">
        <f t="shared" si="5"/>
        <v>0</v>
      </c>
    </row>
    <row r="387" spans="8:21" x14ac:dyDescent="0.35">
      <c r="H387" s="7" t="str">
        <v>F</v>
      </c>
      <c r="J387" t="str">
        <v>A</v>
      </c>
      <c r="K387" t="str">
        <v>Fadiman</v>
      </c>
      <c r="L387" t="str">
        <v>Anne Fadiman</v>
      </c>
      <c r="M387" t="e">
        <f t="array" ref="M387">VLOOKUP(L387,books!B384,1,0)</f>
        <v>#N/A</v>
      </c>
      <c r="N387">
        <f>COUNTA(books!C386:'books'!ZZ386)</f>
        <v>1</v>
      </c>
      <c r="O387">
        <f t="array" ref="O387">AVERAGE(rating!C386:'rating'!ZZ386)</f>
        <v>10</v>
      </c>
      <c r="P387">
        <f>SUM(COUNTIF(rating!C386:ZZ386, 10))</f>
        <v>1</v>
      </c>
      <c r="R387">
        <f>COUNTA(year!C386:ZZ386)</f>
        <v>1</v>
      </c>
      <c r="S387">
        <f>COUNTA(books!C386:ZZ386)</f>
        <v>1</v>
      </c>
      <c r="T387">
        <f>COUNTA(rating!C386:ZZ386)</f>
        <v>1</v>
      </c>
      <c r="U387">
        <f t="shared" ref="U387:U450" si="6">R387-T387</f>
        <v>0</v>
      </c>
    </row>
    <row r="388" spans="8:21" x14ac:dyDescent="0.35">
      <c r="H388" s="7" t="str">
        <v>H</v>
      </c>
      <c r="J388" t="str">
        <v>Z</v>
      </c>
      <c r="K388" t="str">
        <v>Hurston</v>
      </c>
      <c r="L388" t="str">
        <v>Zora Hurston</v>
      </c>
      <c r="M388" t="e">
        <f t="array" ref="M388">VLOOKUP(L388,books!B385,1,0)</f>
        <v>#N/A</v>
      </c>
      <c r="N388">
        <f>COUNTA(books!C387:'books'!ZZ387)</f>
        <v>1</v>
      </c>
      <c r="O388">
        <f t="array" ref="O388">AVERAGE(rating!C387:'rating'!ZZ387)</f>
        <v>10</v>
      </c>
      <c r="P388">
        <f>SUM(COUNTIF(rating!C387:ZZ387, 10))</f>
        <v>1</v>
      </c>
      <c r="R388">
        <f>COUNTA(year!C387:ZZ387)</f>
        <v>1</v>
      </c>
      <c r="S388">
        <f>COUNTA(books!C387:ZZ387)</f>
        <v>1</v>
      </c>
      <c r="T388">
        <f>COUNTA(rating!C387:ZZ387)</f>
        <v>1</v>
      </c>
      <c r="U388">
        <f t="shared" si="6"/>
        <v>0</v>
      </c>
    </row>
    <row r="389" spans="8:21" x14ac:dyDescent="0.35">
      <c r="H389" s="7" t="str">
        <v>A</v>
      </c>
      <c r="J389" t="str">
        <v>C</v>
      </c>
      <c r="K389" t="str">
        <v>Adichie</v>
      </c>
      <c r="L389" t="str">
        <v>Chimamanda Ngozi Adichie</v>
      </c>
      <c r="M389" t="e">
        <f t="array" ref="M389">VLOOKUP(L389,books!B386,1,0)</f>
        <v>#N/A</v>
      </c>
      <c r="N389">
        <f>COUNTA(books!C388:'books'!ZZ388)</f>
        <v>1</v>
      </c>
      <c r="O389">
        <f t="array" ref="O389">AVERAGE(rating!C388:'rating'!ZZ388)</f>
        <v>9</v>
      </c>
      <c r="P389">
        <f>SUM(COUNTIF(rating!C388:ZZ388, 10))</f>
        <v>0</v>
      </c>
      <c r="R389">
        <f>COUNTA(year!C388:ZZ388)</f>
        <v>1</v>
      </c>
      <c r="S389">
        <f>COUNTA(books!C388:ZZ388)</f>
        <v>1</v>
      </c>
      <c r="T389">
        <f>COUNTA(rating!C388:ZZ388)</f>
        <v>1</v>
      </c>
      <c r="U389">
        <f t="shared" si="6"/>
        <v>0</v>
      </c>
    </row>
    <row r="390" spans="8:21" x14ac:dyDescent="0.35">
      <c r="H390" s="7" t="str">
        <v>C</v>
      </c>
      <c r="J390" t="str">
        <v>T</v>
      </c>
      <c r="K390" t="str">
        <v>Chiang</v>
      </c>
      <c r="L390" t="str">
        <v>Ted Chiang</v>
      </c>
      <c r="M390" t="e">
        <f t="array" ref="M390">VLOOKUP(L390,books!B387,1,0)</f>
        <v>#N/A</v>
      </c>
      <c r="N390">
        <f>COUNTA(books!C389:'books'!ZZ389)</f>
        <v>9</v>
      </c>
      <c r="O390">
        <f t="array" ref="O390">AVERAGE(rating!C389:'rating'!ZZ389)</f>
        <v>8.3333333333333339</v>
      </c>
      <c r="P390">
        <f>SUM(COUNTIF(rating!C389:ZZ389, 10))</f>
        <v>2</v>
      </c>
      <c r="R390">
        <f>COUNTA(year!C389:ZZ389)</f>
        <v>9</v>
      </c>
      <c r="S390">
        <f>COUNTA(books!C389:ZZ389)</f>
        <v>9</v>
      </c>
      <c r="T390">
        <f>COUNTA(rating!C389:ZZ389)</f>
        <v>9</v>
      </c>
      <c r="U390">
        <f t="shared" si="6"/>
        <v>0</v>
      </c>
    </row>
    <row r="391" spans="8:21" x14ac:dyDescent="0.35">
      <c r="H391" s="7" t="str">
        <v>M</v>
      </c>
      <c r="J391" t="str">
        <v>J</v>
      </c>
      <c r="K391" t="str">
        <v>Murphy</v>
      </c>
      <c r="L391" t="str">
        <v>Joseph Murphy</v>
      </c>
      <c r="M391" t="e">
        <f t="array" ref="M391">VLOOKUP(L391,books!B388,1,0)</f>
        <v>#N/A</v>
      </c>
      <c r="N391">
        <f>COUNTA(books!C390:'books'!ZZ390)</f>
        <v>1</v>
      </c>
      <c r="O391">
        <f t="array" ref="O391">AVERAGE(rating!C390:'rating'!ZZ390)</f>
        <v>6</v>
      </c>
      <c r="P391">
        <f>SUM(COUNTIF(rating!C390:ZZ390, 10))</f>
        <v>0</v>
      </c>
      <c r="R391">
        <f>COUNTA(year!C390:ZZ390)</f>
        <v>1</v>
      </c>
      <c r="S391">
        <f>COUNTA(books!C390:ZZ390)</f>
        <v>1</v>
      </c>
      <c r="T391">
        <f>COUNTA(rating!C390:ZZ390)</f>
        <v>1</v>
      </c>
      <c r="U391">
        <f t="shared" si="6"/>
        <v>0</v>
      </c>
    </row>
    <row r="392" spans="8:21" x14ac:dyDescent="0.35">
      <c r="H392" s="7" t="str">
        <v>E</v>
      </c>
      <c r="J392" t="str">
        <v>O</v>
      </c>
      <c r="K392" t="str">
        <v>Equiano</v>
      </c>
      <c r="L392" t="str">
        <v>Olaudah Equiano</v>
      </c>
      <c r="M392" t="e">
        <f t="array" ref="M392">VLOOKUP(L392,books!B389,1,0)</f>
        <v>#N/A</v>
      </c>
      <c r="N392">
        <f>COUNTA(books!C391:'books'!ZZ391)</f>
        <v>1</v>
      </c>
      <c r="O392">
        <f t="array" ref="O392">AVERAGE(rating!C391:'rating'!ZZ391)</f>
        <v>9</v>
      </c>
      <c r="P392">
        <f>SUM(COUNTIF(rating!C391:ZZ391, 10))</f>
        <v>0</v>
      </c>
      <c r="R392">
        <f>COUNTA(year!C391:ZZ391)</f>
        <v>1</v>
      </c>
      <c r="S392">
        <f>COUNTA(books!C391:ZZ391)</f>
        <v>1</v>
      </c>
      <c r="T392">
        <f>COUNTA(rating!C391:ZZ391)</f>
        <v>1</v>
      </c>
      <c r="U392">
        <f t="shared" si="6"/>
        <v>0</v>
      </c>
    </row>
    <row r="393" spans="8:21" x14ac:dyDescent="0.35">
      <c r="H393" s="7" t="str">
        <v>P</v>
      </c>
      <c r="J393" t="str">
        <v>M</v>
      </c>
      <c r="K393" t="str">
        <v>Prince</v>
      </c>
      <c r="L393" t="str">
        <v>Mary Prince</v>
      </c>
      <c r="M393" t="e">
        <f t="array" ref="M393">VLOOKUP(L393,books!B390,1,0)</f>
        <v>#N/A</v>
      </c>
      <c r="N393">
        <f>COUNTA(books!C392:'books'!ZZ392)</f>
        <v>1</v>
      </c>
      <c r="O393">
        <f t="array" ref="O393">AVERAGE(rating!C392:'rating'!ZZ392)</f>
        <v>7</v>
      </c>
      <c r="P393">
        <f>SUM(COUNTIF(rating!C392:ZZ392, 10))</f>
        <v>0</v>
      </c>
      <c r="R393">
        <f>COUNTA(year!C392:ZZ392)</f>
        <v>1</v>
      </c>
      <c r="S393">
        <f>COUNTA(books!C392:ZZ392)</f>
        <v>1</v>
      </c>
      <c r="T393">
        <f>COUNTA(rating!C392:ZZ392)</f>
        <v>1</v>
      </c>
      <c r="U393">
        <f t="shared" si="6"/>
        <v>0</v>
      </c>
    </row>
    <row r="394" spans="8:21" x14ac:dyDescent="0.35">
      <c r="H394" s="7" t="str">
        <v>A</v>
      </c>
      <c r="J394" t="str">
        <v>L</v>
      </c>
      <c r="K394" t="str">
        <v>Asa-Asa</v>
      </c>
      <c r="L394" t="str">
        <v>Louis Asa-Asa</v>
      </c>
      <c r="M394" t="e">
        <f t="array" ref="M394">VLOOKUP(L394,books!B391,1,0)</f>
        <v>#N/A</v>
      </c>
      <c r="N394">
        <f>COUNTA(books!C393:'books'!ZZ393)</f>
        <v>1</v>
      </c>
      <c r="O394">
        <f t="array" ref="O394">AVERAGE(rating!C393:'rating'!ZZ393)</f>
        <v>6</v>
      </c>
      <c r="P394">
        <f>SUM(COUNTIF(rating!C393:ZZ393, 10))</f>
        <v>0</v>
      </c>
      <c r="R394">
        <f>COUNTA(year!C393:ZZ393)</f>
        <v>1</v>
      </c>
      <c r="S394">
        <f>COUNTA(books!C393:ZZ393)</f>
        <v>1</v>
      </c>
      <c r="T394">
        <f>COUNTA(rating!C393:ZZ393)</f>
        <v>1</v>
      </c>
      <c r="U394">
        <f t="shared" si="6"/>
        <v>0</v>
      </c>
    </row>
    <row r="395" spans="8:21" x14ac:dyDescent="0.35">
      <c r="H395" s="7" t="str">
        <v>D</v>
      </c>
      <c r="J395" t="str">
        <v>F</v>
      </c>
      <c r="K395" t="str">
        <v>Douglass</v>
      </c>
      <c r="L395" t="str">
        <v>Frederick Douglass</v>
      </c>
      <c r="M395" t="e">
        <f t="array" ref="M395">VLOOKUP(L395,books!B392,1,0)</f>
        <v>#N/A</v>
      </c>
      <c r="N395">
        <f>COUNTA(books!C394:'books'!ZZ394)</f>
        <v>1</v>
      </c>
      <c r="O395">
        <f t="array" ref="O395">AVERAGE(rating!C394:'rating'!ZZ394)</f>
        <v>7</v>
      </c>
      <c r="P395">
        <f>SUM(COUNTIF(rating!C394:ZZ394, 10))</f>
        <v>0</v>
      </c>
      <c r="R395">
        <f>COUNTA(year!C394:ZZ394)</f>
        <v>1</v>
      </c>
      <c r="S395">
        <f>COUNTA(books!C394:ZZ394)</f>
        <v>1</v>
      </c>
      <c r="T395">
        <f>COUNTA(rating!C394:ZZ394)</f>
        <v>1</v>
      </c>
      <c r="U395">
        <f t="shared" si="6"/>
        <v>0</v>
      </c>
    </row>
    <row r="396" spans="8:21" x14ac:dyDescent="0.35">
      <c r="H396" s="7" t="str">
        <v>J</v>
      </c>
      <c r="J396" t="str">
        <v>H</v>
      </c>
      <c r="K396" t="str">
        <v>Jacobs</v>
      </c>
      <c r="L396" t="str">
        <v>Harriet Jacobs</v>
      </c>
      <c r="M396" t="e">
        <f t="array" ref="M396">VLOOKUP(L396,books!B393,1,0)</f>
        <v>#N/A</v>
      </c>
      <c r="N396">
        <f>COUNTA(books!C395:'books'!ZZ395)</f>
        <v>1</v>
      </c>
      <c r="O396">
        <f t="array" ref="O396">AVERAGE(rating!C395:'rating'!ZZ395)</f>
        <v>7</v>
      </c>
      <c r="P396">
        <f>SUM(COUNTIF(rating!C395:ZZ395, 10))</f>
        <v>0</v>
      </c>
      <c r="R396">
        <f>COUNTA(year!C395:ZZ395)</f>
        <v>1</v>
      </c>
      <c r="S396">
        <f>COUNTA(books!C395:ZZ395)</f>
        <v>1</v>
      </c>
      <c r="T396">
        <f>COUNTA(rating!C395:ZZ395)</f>
        <v>1</v>
      </c>
      <c r="U396">
        <f t="shared" si="6"/>
        <v>0</v>
      </c>
    </row>
    <row r="397" spans="8:21" x14ac:dyDescent="0.35">
      <c r="H397" s="7" t="str">
        <v>H</v>
      </c>
      <c r="J397" t="str">
        <v>A</v>
      </c>
      <c r="K397" t="str">
        <v>Henderson</v>
      </c>
      <c r="L397" t="str">
        <v>Aneeka Ayanna Henderson</v>
      </c>
      <c r="M397" t="e">
        <f t="array" ref="M397">VLOOKUP(L397,books!B394,1,0)</f>
        <v>#N/A</v>
      </c>
      <c r="N397">
        <f>COUNTA(books!C396:'books'!ZZ396)</f>
        <v>1</v>
      </c>
      <c r="O397">
        <f t="array" ref="O397">AVERAGE(rating!C396:'rating'!ZZ396)</f>
        <v>5</v>
      </c>
      <c r="P397">
        <f>SUM(COUNTIF(rating!C396:ZZ396, 10))</f>
        <v>0</v>
      </c>
      <c r="R397">
        <f>COUNTA(year!C396:ZZ396)</f>
        <v>1</v>
      </c>
      <c r="S397">
        <f>COUNTA(books!C396:ZZ396)</f>
        <v>1</v>
      </c>
      <c r="T397">
        <f>COUNTA(rating!C396:ZZ396)</f>
        <v>1</v>
      </c>
      <c r="U397">
        <f t="shared" si="6"/>
        <v>0</v>
      </c>
    </row>
    <row r="398" spans="8:21" x14ac:dyDescent="0.35">
      <c r="H398" s="7" t="str">
        <v>S</v>
      </c>
      <c r="J398" t="str">
        <v>S</v>
      </c>
      <c r="K398" t="str">
        <v>Sotomayor</v>
      </c>
      <c r="L398" t="str">
        <v>Sonya Sotomayor</v>
      </c>
      <c r="M398" t="e">
        <f t="array" ref="M398">VLOOKUP(L398,books!B395,1,0)</f>
        <v>#N/A</v>
      </c>
      <c r="N398">
        <f>COUNTA(books!C397:'books'!ZZ397)</f>
        <v>1</v>
      </c>
      <c r="O398">
        <f t="array" ref="O398">AVERAGE(rating!C397:'rating'!ZZ397)</f>
        <v>8</v>
      </c>
      <c r="P398">
        <f>SUM(COUNTIF(rating!C397:ZZ397, 10))</f>
        <v>0</v>
      </c>
      <c r="R398">
        <f>COUNTA(year!C397:ZZ397)</f>
        <v>1</v>
      </c>
      <c r="S398">
        <f>COUNTA(books!C397:ZZ397)</f>
        <v>1</v>
      </c>
      <c r="T398">
        <f>COUNTA(rating!C397:ZZ397)</f>
        <v>1</v>
      </c>
      <c r="U398">
        <f t="shared" si="6"/>
        <v>0</v>
      </c>
    </row>
    <row r="399" spans="8:21" x14ac:dyDescent="0.35">
      <c r="H399" s="7" t="str">
        <v>K</v>
      </c>
      <c r="J399" t="str">
        <v>J</v>
      </c>
      <c r="K399" t="str">
        <v>Kahn</v>
      </c>
      <c r="L399" t="str">
        <v>James Kahn</v>
      </c>
      <c r="M399" t="e">
        <f t="array" ref="M399">VLOOKUP(L399,books!B396,1,0)</f>
        <v>#N/A</v>
      </c>
      <c r="N399">
        <f>COUNTA(books!C398:'books'!ZZ398)</f>
        <v>1</v>
      </c>
      <c r="O399">
        <f t="array" ref="O399">AVERAGE(rating!C398:'rating'!ZZ398)</f>
        <v>4</v>
      </c>
      <c r="P399">
        <f>SUM(COUNTIF(rating!C398:ZZ398, 10))</f>
        <v>0</v>
      </c>
      <c r="R399">
        <f>COUNTA(year!C398:ZZ398)</f>
        <v>1</v>
      </c>
      <c r="S399">
        <f>COUNTA(books!C398:ZZ398)</f>
        <v>1</v>
      </c>
      <c r="T399">
        <f>COUNTA(rating!C398:ZZ398)</f>
        <v>1</v>
      </c>
      <c r="U399">
        <f t="shared" si="6"/>
        <v>0</v>
      </c>
    </row>
    <row r="400" spans="8:21" x14ac:dyDescent="0.35">
      <c r="H400" s="7" t="str">
        <v>L</v>
      </c>
      <c r="J400" t="str">
        <v>G</v>
      </c>
      <c r="K400" t="str">
        <v>Lucas</v>
      </c>
      <c r="L400" t="str">
        <v>George Lucas</v>
      </c>
      <c r="M400" t="e">
        <f t="array" ref="M400">VLOOKUP(L400,books!B397,1,0)</f>
        <v>#N/A</v>
      </c>
      <c r="N400">
        <f>COUNTA(books!C399:'books'!ZZ399)</f>
        <v>1</v>
      </c>
      <c r="O400">
        <f t="array" ref="O400">AVERAGE(rating!C399:'rating'!ZZ399)</f>
        <v>4</v>
      </c>
      <c r="P400">
        <f>SUM(COUNTIF(rating!C399:ZZ399, 10))</f>
        <v>0</v>
      </c>
      <c r="R400">
        <f>COUNTA(year!C399:ZZ399)</f>
        <v>1</v>
      </c>
      <c r="S400">
        <f>COUNTA(books!C399:ZZ399)</f>
        <v>1</v>
      </c>
      <c r="T400">
        <f>COUNTA(rating!C399:ZZ399)</f>
        <v>1</v>
      </c>
      <c r="U400">
        <f t="shared" si="6"/>
        <v>0</v>
      </c>
    </row>
    <row r="401" spans="8:21" x14ac:dyDescent="0.35">
      <c r="H401" s="7" t="str">
        <v>J</v>
      </c>
      <c r="J401" t="str">
        <v>S</v>
      </c>
      <c r="K401" t="str">
        <v>Junger</v>
      </c>
      <c r="L401" t="str">
        <v>Sebastian Junger</v>
      </c>
      <c r="M401" t="e">
        <f t="array" ref="M401">VLOOKUP(L401,books!B398,1,0)</f>
        <v>#N/A</v>
      </c>
      <c r="N401">
        <f>COUNTA(books!C400:'books'!ZZ400)</f>
        <v>1</v>
      </c>
      <c r="O401">
        <f t="array" ref="O401">AVERAGE(rating!C400:'rating'!ZZ400)</f>
        <v>9</v>
      </c>
      <c r="P401">
        <f>SUM(COUNTIF(rating!C400:ZZ400, 10))</f>
        <v>0</v>
      </c>
      <c r="R401">
        <f>COUNTA(year!C400:ZZ400)</f>
        <v>1</v>
      </c>
      <c r="S401">
        <f>COUNTA(books!C400:ZZ400)</f>
        <v>1</v>
      </c>
      <c r="T401">
        <f>COUNTA(rating!C400:ZZ400)</f>
        <v>1</v>
      </c>
      <c r="U401">
        <f t="shared" si="6"/>
        <v>0</v>
      </c>
    </row>
    <row r="402" spans="8:21" x14ac:dyDescent="0.35">
      <c r="H402" s="7" t="str">
        <v>D</v>
      </c>
      <c r="J402" t="str">
        <v>J</v>
      </c>
      <c r="K402" t="str">
        <v>Dobie</v>
      </c>
      <c r="L402" t="str">
        <v>J. Frank Dobie</v>
      </c>
      <c r="M402" t="e">
        <f t="array" ref="M402">VLOOKUP(L402,books!B399,1,0)</f>
        <v>#N/A</v>
      </c>
      <c r="N402">
        <f>COUNTA(books!C401:'books'!ZZ401)</f>
        <v>1</v>
      </c>
      <c r="O402">
        <f t="array" ref="O402">AVERAGE(rating!C401:'rating'!ZZ401)</f>
        <v>9</v>
      </c>
      <c r="P402">
        <f>SUM(COUNTIF(rating!C401:ZZ401, 10))</f>
        <v>0</v>
      </c>
      <c r="R402">
        <f>COUNTA(year!C401:ZZ401)</f>
        <v>1</v>
      </c>
      <c r="S402">
        <f>COUNTA(books!C401:ZZ401)</f>
        <v>1</v>
      </c>
      <c r="T402">
        <f>COUNTA(rating!C401:ZZ401)</f>
        <v>1</v>
      </c>
      <c r="U402">
        <f t="shared" si="6"/>
        <v>0</v>
      </c>
    </row>
    <row r="403" spans="8:21" x14ac:dyDescent="0.35">
      <c r="H403" s="7" t="str">
        <v>M</v>
      </c>
      <c r="J403" t="str">
        <v>A</v>
      </c>
      <c r="K403" t="str">
        <v>Murray</v>
      </c>
      <c r="L403" t="str">
        <v>Andrew Murray</v>
      </c>
      <c r="M403" t="e">
        <f t="array" ref="M403">VLOOKUP(L403,books!B400,1,0)</f>
        <v>#N/A</v>
      </c>
      <c r="N403">
        <f>COUNTA(books!C402:'books'!ZZ402)</f>
        <v>1</v>
      </c>
      <c r="O403">
        <f t="array" ref="O403">AVERAGE(rating!C402:'rating'!ZZ402)</f>
        <v>8</v>
      </c>
      <c r="P403">
        <f>SUM(COUNTIF(rating!C402:ZZ402, 10))</f>
        <v>0</v>
      </c>
      <c r="R403">
        <f>COUNTA(year!C402:ZZ402)</f>
        <v>1</v>
      </c>
      <c r="S403">
        <f>COUNTA(books!C402:ZZ402)</f>
        <v>1</v>
      </c>
      <c r="T403">
        <f>COUNTA(rating!C402:ZZ402)</f>
        <v>1</v>
      </c>
      <c r="U403">
        <f t="shared" si="6"/>
        <v>0</v>
      </c>
    </row>
    <row r="404" spans="8:21" x14ac:dyDescent="0.35">
      <c r="H404" s="7" t="str">
        <v>B</v>
      </c>
      <c r="J404" t="str">
        <v>T</v>
      </c>
      <c r="K404" t="str">
        <v>Brussig</v>
      </c>
      <c r="L404" t="str">
        <v>Thomas Brussig</v>
      </c>
      <c r="M404" t="e">
        <f t="array" ref="M404">VLOOKUP(L404,books!B401,1,0)</f>
        <v>#N/A</v>
      </c>
      <c r="N404">
        <f>COUNTA(books!C403:'books'!ZZ403)</f>
        <v>1</v>
      </c>
      <c r="O404">
        <f t="array" ref="O404">AVERAGE(rating!C403:'rating'!ZZ403)</f>
        <v>8</v>
      </c>
      <c r="P404">
        <f>SUM(COUNTIF(rating!C403:ZZ403, 10))</f>
        <v>0</v>
      </c>
      <c r="R404">
        <f>COUNTA(year!C403:ZZ403)</f>
        <v>1</v>
      </c>
      <c r="S404">
        <f>COUNTA(books!C403:ZZ403)</f>
        <v>1</v>
      </c>
      <c r="T404">
        <f>COUNTA(rating!C403:ZZ403)</f>
        <v>1</v>
      </c>
      <c r="U404">
        <f t="shared" si="6"/>
        <v>0</v>
      </c>
    </row>
    <row r="405" spans="8:21" x14ac:dyDescent="0.35">
      <c r="H405" s="7" t="str">
        <v>M</v>
      </c>
      <c r="J405" t="str">
        <v>C</v>
      </c>
      <c r="K405" t="str">
        <v>Merchant</v>
      </c>
      <c r="L405" t="str">
        <v>Carolyn Merchant</v>
      </c>
      <c r="M405" t="e">
        <f t="array" ref="M405">VLOOKUP(L405,books!B402,1,0)</f>
        <v>#N/A</v>
      </c>
      <c r="N405">
        <f>COUNTA(books!C404:'books'!ZZ404)</f>
        <v>1</v>
      </c>
      <c r="O405">
        <f t="array" ref="O405">AVERAGE(rating!C404:'rating'!ZZ404)</f>
        <v>4</v>
      </c>
      <c r="P405">
        <f>SUM(COUNTIF(rating!C404:ZZ404, 10))</f>
        <v>0</v>
      </c>
      <c r="R405">
        <f>COUNTA(year!C404:ZZ404)</f>
        <v>1</v>
      </c>
      <c r="S405">
        <f>COUNTA(books!C404:ZZ404)</f>
        <v>1</v>
      </c>
      <c r="T405">
        <f>COUNTA(rating!C404:ZZ404)</f>
        <v>1</v>
      </c>
      <c r="U405">
        <f t="shared" si="6"/>
        <v>0</v>
      </c>
    </row>
    <row r="406" spans="8:21" x14ac:dyDescent="0.35">
      <c r="H406" s="7" t="str">
        <v>O</v>
      </c>
      <c r="J406" t="str">
        <v>B</v>
      </c>
      <c r="K406" t="str">
        <v>Obama</v>
      </c>
      <c r="L406" t="str">
        <v>Barak Obama</v>
      </c>
      <c r="M406" t="e">
        <f t="array" ref="M406">VLOOKUP(L406,books!B403,1,0)</f>
        <v>#N/A</v>
      </c>
      <c r="N406">
        <f>COUNTA(books!C405:'books'!ZZ405)</f>
        <v>1</v>
      </c>
      <c r="O406">
        <f t="array" ref="O406">AVERAGE(rating!C405:'rating'!ZZ405)</f>
        <v>8</v>
      </c>
      <c r="P406">
        <f>SUM(COUNTIF(rating!C405:ZZ405, 10))</f>
        <v>0</v>
      </c>
      <c r="R406">
        <f>COUNTA(year!C405:ZZ405)</f>
        <v>1</v>
      </c>
      <c r="S406">
        <f>COUNTA(books!C405:ZZ405)</f>
        <v>1</v>
      </c>
      <c r="T406">
        <f>COUNTA(rating!C405:ZZ405)</f>
        <v>1</v>
      </c>
      <c r="U406">
        <f t="shared" si="6"/>
        <v>0</v>
      </c>
    </row>
    <row r="407" spans="8:21" x14ac:dyDescent="0.35">
      <c r="H407" s="7" t="str">
        <v>L</v>
      </c>
      <c r="J407" t="str">
        <v>R</v>
      </c>
      <c r="K407" t="str">
        <v>Locke</v>
      </c>
      <c r="L407" t="str">
        <v>Raymond Friday Locke</v>
      </c>
      <c r="M407" t="e">
        <f t="array" ref="M407">VLOOKUP(L407,books!B404,1,0)</f>
        <v>#N/A</v>
      </c>
      <c r="N407">
        <f>COUNTA(books!C406:'books'!ZZ406)</f>
        <v>1</v>
      </c>
      <c r="O407">
        <f t="array" ref="O407">AVERAGE(rating!C406:'rating'!ZZ406)</f>
        <v>9</v>
      </c>
      <c r="P407">
        <f>SUM(COUNTIF(rating!C406:ZZ406, 10))</f>
        <v>0</v>
      </c>
      <c r="R407">
        <f>COUNTA(year!C406:ZZ406)</f>
        <v>1</v>
      </c>
      <c r="S407">
        <f>COUNTA(books!C406:ZZ406)</f>
        <v>1</v>
      </c>
      <c r="T407">
        <f>COUNTA(rating!C406:ZZ406)</f>
        <v>1</v>
      </c>
      <c r="U407">
        <f t="shared" si="6"/>
        <v>0</v>
      </c>
    </row>
    <row r="408" spans="8:21" x14ac:dyDescent="0.35">
      <c r="H408" s="7" t="str">
        <v>T</v>
      </c>
      <c r="J408" t="str">
        <v>J</v>
      </c>
      <c r="K408" t="str">
        <v>Thorne</v>
      </c>
      <c r="L408" t="str">
        <v>Jack Thorne</v>
      </c>
      <c r="M408" t="e">
        <f t="array" ref="M408">VLOOKUP(L408,books!B405,1,0)</f>
        <v>#N/A</v>
      </c>
      <c r="N408">
        <f>COUNTA(books!C407:'books'!ZZ407)</f>
        <v>1</v>
      </c>
      <c r="O408">
        <f t="array" ref="O408">AVERAGE(rating!C407:'rating'!ZZ407)</f>
        <v>7</v>
      </c>
      <c r="P408">
        <f>SUM(COUNTIF(rating!C407:ZZ407, 10))</f>
        <v>0</v>
      </c>
      <c r="R408">
        <f>COUNTA(year!C407:ZZ407)</f>
        <v>1</v>
      </c>
      <c r="S408">
        <f>COUNTA(books!C407:ZZ407)</f>
        <v>1</v>
      </c>
      <c r="T408">
        <f>COUNTA(rating!C407:ZZ407)</f>
        <v>1</v>
      </c>
      <c r="U408">
        <f t="shared" si="6"/>
        <v>0</v>
      </c>
    </row>
    <row r="409" spans="8:21" x14ac:dyDescent="0.35">
      <c r="H409" s="7" t="str">
        <v>F</v>
      </c>
      <c r="J409" t="str">
        <v>M</v>
      </c>
      <c r="K409" t="str">
        <v>Furlong</v>
      </c>
      <c r="L409" t="str">
        <v>Monica Furlong</v>
      </c>
      <c r="M409" t="e">
        <f t="array" ref="M409">VLOOKUP(L409,books!B406,1,0)</f>
        <v>#N/A</v>
      </c>
      <c r="N409">
        <f>COUNTA(books!C408:'books'!ZZ408)</f>
        <v>1</v>
      </c>
      <c r="O409">
        <f t="array" ref="O409">AVERAGE(rating!C408:'rating'!ZZ408)</f>
        <v>10</v>
      </c>
      <c r="P409">
        <f>SUM(COUNTIF(rating!C408:ZZ408, 10))</f>
        <v>1</v>
      </c>
      <c r="R409">
        <f>COUNTA(year!C408:ZZ408)</f>
        <v>1</v>
      </c>
      <c r="S409">
        <f>COUNTA(books!C408:ZZ408)</f>
        <v>1</v>
      </c>
      <c r="T409">
        <f>COUNTA(rating!C408:ZZ408)</f>
        <v>1</v>
      </c>
      <c r="U409">
        <f t="shared" si="6"/>
        <v>0</v>
      </c>
    </row>
    <row r="410" spans="8:21" x14ac:dyDescent="0.35">
      <c r="H410" s="7" t="str">
        <v>G</v>
      </c>
      <c r="J410" t="str">
        <v>M</v>
      </c>
      <c r="K410" t="str">
        <v>Gladwell</v>
      </c>
      <c r="L410" t="str">
        <v>Malcom Gladwell</v>
      </c>
      <c r="M410" t="e">
        <f t="array" ref="M410">VLOOKUP(L410,books!B407,1,0)</f>
        <v>#N/A</v>
      </c>
      <c r="N410">
        <f>COUNTA(books!C409:'books'!ZZ409)</f>
        <v>2</v>
      </c>
      <c r="O410">
        <f t="array" ref="O410">AVERAGE(rating!C409:'rating'!ZZ409)</f>
        <v>9</v>
      </c>
      <c r="P410">
        <f>SUM(COUNTIF(rating!C409:ZZ409, 10))</f>
        <v>0</v>
      </c>
      <c r="R410">
        <f>COUNTA(year!C409:ZZ409)</f>
        <v>2</v>
      </c>
      <c r="S410">
        <f>COUNTA(books!C409:ZZ409)</f>
        <v>2</v>
      </c>
      <c r="T410">
        <f>COUNTA(rating!C409:ZZ409)</f>
        <v>2</v>
      </c>
      <c r="U410">
        <f t="shared" si="6"/>
        <v>0</v>
      </c>
    </row>
    <row r="411" spans="8:21" x14ac:dyDescent="0.35">
      <c r="H411" s="7" t="str">
        <v>W</v>
      </c>
      <c r="J411" t="str">
        <v>R</v>
      </c>
      <c r="K411" t="str">
        <v>Wright</v>
      </c>
      <c r="L411" t="str">
        <v>Richard Wright</v>
      </c>
      <c r="M411" t="e">
        <f t="array" ref="M411">VLOOKUP(L411,books!B408,1,0)</f>
        <v>#N/A</v>
      </c>
      <c r="N411">
        <f>COUNTA(books!C410:'books'!ZZ410)</f>
        <v>1</v>
      </c>
      <c r="O411">
        <f t="array" ref="O411">AVERAGE(rating!C410:'rating'!ZZ410)</f>
        <v>10</v>
      </c>
      <c r="P411">
        <f>SUM(COUNTIF(rating!C410:ZZ410, 10))</f>
        <v>1</v>
      </c>
      <c r="R411">
        <f>COUNTA(year!C410:ZZ410)</f>
        <v>1</v>
      </c>
      <c r="S411">
        <f>COUNTA(books!C410:ZZ410)</f>
        <v>1</v>
      </c>
      <c r="T411">
        <f>COUNTA(rating!C410:ZZ410)</f>
        <v>1</v>
      </c>
      <c r="U411">
        <f t="shared" si="6"/>
        <v>0</v>
      </c>
    </row>
    <row r="412" spans="8:21" x14ac:dyDescent="0.35">
      <c r="H412" s="7" t="str">
        <v>B</v>
      </c>
      <c r="J412" t="str">
        <v>A</v>
      </c>
      <c r="K412" t="str">
        <v>Burgess</v>
      </c>
      <c r="L412" t="str">
        <v>Anthony Burgess</v>
      </c>
      <c r="M412" t="e">
        <f t="array" ref="M412">VLOOKUP(L412,books!B409,1,0)</f>
        <v>#N/A</v>
      </c>
      <c r="N412">
        <f>COUNTA(books!C411:'books'!ZZ411)</f>
        <v>1</v>
      </c>
      <c r="O412">
        <f t="array" ref="O412">AVERAGE(rating!C411:'rating'!ZZ411)</f>
        <v>7</v>
      </c>
      <c r="P412">
        <f>SUM(COUNTIF(rating!C411:ZZ411, 10))</f>
        <v>0</v>
      </c>
      <c r="R412">
        <f>COUNTA(year!C411:ZZ411)</f>
        <v>1</v>
      </c>
      <c r="S412">
        <f>COUNTA(books!C411:ZZ411)</f>
        <v>1</v>
      </c>
      <c r="T412">
        <f>COUNTA(rating!C411:ZZ411)</f>
        <v>1</v>
      </c>
      <c r="U412">
        <f t="shared" si="6"/>
        <v>0</v>
      </c>
    </row>
    <row r="413" spans="8:21" x14ac:dyDescent="0.35">
      <c r="H413" s="7" t="str">
        <v>H</v>
      </c>
      <c r="J413" t="str">
        <v>P</v>
      </c>
      <c r="K413" t="str">
        <v>Highsmith</v>
      </c>
      <c r="L413" t="str">
        <v>Patricia Highsmith</v>
      </c>
      <c r="M413" t="e">
        <f t="array" ref="M413">VLOOKUP(L413,books!B410,1,0)</f>
        <v>#N/A</v>
      </c>
      <c r="N413">
        <f>COUNTA(books!C412:'books'!ZZ412)</f>
        <v>1</v>
      </c>
      <c r="O413">
        <f t="array" ref="O413">AVERAGE(rating!C412:'rating'!ZZ412)</f>
        <v>10</v>
      </c>
      <c r="P413">
        <f>SUM(COUNTIF(rating!C412:ZZ412, 10))</f>
        <v>1</v>
      </c>
      <c r="R413">
        <f>COUNTA(year!C412:ZZ412)</f>
        <v>1</v>
      </c>
      <c r="S413">
        <f>COUNTA(books!C412:ZZ412)</f>
        <v>1</v>
      </c>
      <c r="T413">
        <f>COUNTA(rating!C412:ZZ412)</f>
        <v>1</v>
      </c>
      <c r="U413">
        <f t="shared" si="6"/>
        <v>0</v>
      </c>
    </row>
    <row r="414" spans="8:21" x14ac:dyDescent="0.35">
      <c r="H414" s="7" t="str">
        <v>L</v>
      </c>
      <c r="J414" t="str">
        <v>S</v>
      </c>
      <c r="K414" t="str">
        <v>Larsson</v>
      </c>
      <c r="L414" t="str">
        <v>Stieg Larsson</v>
      </c>
      <c r="M414" t="e">
        <f t="array" ref="M414">VLOOKUP(L414,books!B411,1,0)</f>
        <v>#N/A</v>
      </c>
      <c r="N414">
        <f>COUNTA(books!C413:'books'!ZZ413)</f>
        <v>1</v>
      </c>
      <c r="O414">
        <f t="array" ref="O414">AVERAGE(rating!C413:'rating'!ZZ413)</f>
        <v>9</v>
      </c>
      <c r="P414">
        <f>SUM(COUNTIF(rating!C413:ZZ413, 10))</f>
        <v>0</v>
      </c>
      <c r="R414">
        <f>COUNTA(year!C413:ZZ413)</f>
        <v>1</v>
      </c>
      <c r="S414">
        <f>COUNTA(books!C413:ZZ413)</f>
        <v>1</v>
      </c>
      <c r="T414">
        <f>COUNTA(rating!C413:ZZ413)</f>
        <v>1</v>
      </c>
      <c r="U414">
        <f t="shared" si="6"/>
        <v>0</v>
      </c>
    </row>
    <row r="415" spans="8:21" x14ac:dyDescent="0.35">
      <c r="H415" s="7" t="str">
        <v>S</v>
      </c>
      <c r="J415" t="str">
        <v>E</v>
      </c>
      <c r="K415" t="str">
        <v>Svensson</v>
      </c>
      <c r="L415" t="str">
        <v>Erik Svensson</v>
      </c>
      <c r="M415" t="e">
        <f t="array" ref="M415">VLOOKUP(L415,books!B412,1,0)</f>
        <v>#N/A</v>
      </c>
      <c r="N415">
        <f>COUNTA(books!C414:'books'!ZZ414)</f>
        <v>1</v>
      </c>
      <c r="O415">
        <f t="array" ref="O415">AVERAGE(rating!C414:'rating'!ZZ414)</f>
        <v>7</v>
      </c>
      <c r="P415">
        <f>SUM(COUNTIF(rating!C414:ZZ414, 10))</f>
        <v>0</v>
      </c>
      <c r="R415">
        <f>COUNTA(year!C414:ZZ414)</f>
        <v>1</v>
      </c>
      <c r="S415">
        <f>COUNTA(books!C414:ZZ414)</f>
        <v>1</v>
      </c>
      <c r="T415">
        <f>COUNTA(rating!C414:ZZ414)</f>
        <v>1</v>
      </c>
      <c r="U415">
        <f t="shared" si="6"/>
        <v>0</v>
      </c>
    </row>
    <row r="416" spans="8:21" x14ac:dyDescent="0.35">
      <c r="H416" s="7" t="str">
        <v>H</v>
      </c>
      <c r="J416" t="str">
        <v>K</v>
      </c>
      <c r="K416" t="str">
        <v>Hanson</v>
      </c>
      <c r="L416" t="str">
        <v>Kevin Simler, Robin Hanson</v>
      </c>
      <c r="M416" t="e">
        <f t="array" ref="M416">VLOOKUP(L416,books!B413,1,0)</f>
        <v>#N/A</v>
      </c>
      <c r="N416">
        <f>COUNTA(books!C415:'books'!ZZ415)</f>
        <v>1</v>
      </c>
      <c r="O416">
        <f t="array" ref="O416">AVERAGE(rating!C415:'rating'!ZZ415)</f>
        <v>10</v>
      </c>
      <c r="P416">
        <f>SUM(COUNTIF(rating!C415:ZZ415, 10))</f>
        <v>1</v>
      </c>
      <c r="R416">
        <f>COUNTA(year!C415:ZZ415)</f>
        <v>1</v>
      </c>
      <c r="S416">
        <f>COUNTA(books!C415:ZZ415)</f>
        <v>1</v>
      </c>
      <c r="T416">
        <f>COUNTA(rating!C415:ZZ415)</f>
        <v>1</v>
      </c>
      <c r="U416">
        <f t="shared" si="6"/>
        <v>0</v>
      </c>
    </row>
    <row r="417" spans="8:21" x14ac:dyDescent="0.35">
      <c r="H417" s="7" t="str">
        <v>G</v>
      </c>
      <c r="J417" t="str">
        <v>W</v>
      </c>
      <c r="K417" t="str">
        <v>Golding</v>
      </c>
      <c r="L417" t="str">
        <v>William Golding</v>
      </c>
      <c r="M417" t="e">
        <f t="array" ref="M417">VLOOKUP(L417,books!B414,1,0)</f>
        <v>#N/A</v>
      </c>
      <c r="N417">
        <f>COUNTA(books!C416:'books'!ZZ416)</f>
        <v>1</v>
      </c>
      <c r="O417">
        <f t="array" ref="O417">AVERAGE(rating!C416:'rating'!ZZ416)</f>
        <v>9</v>
      </c>
      <c r="P417">
        <f>SUM(COUNTIF(rating!C416:ZZ416, 10))</f>
        <v>0</v>
      </c>
      <c r="R417">
        <f>COUNTA(year!C416:ZZ416)</f>
        <v>1</v>
      </c>
      <c r="S417">
        <f>COUNTA(books!C416:ZZ416)</f>
        <v>1</v>
      </c>
      <c r="T417">
        <f>COUNTA(rating!C416:ZZ416)</f>
        <v>1</v>
      </c>
      <c r="U417">
        <f t="shared" si="6"/>
        <v>0</v>
      </c>
    </row>
    <row r="418" spans="8:21" x14ac:dyDescent="0.35">
      <c r="H418" s="7" t="str">
        <v/>
      </c>
      <c r="J418" t="str">
        <v>0</v>
      </c>
      <c r="K418" t="str">
        <v/>
      </c>
      <c r="L418">
        <v>0</v>
      </c>
      <c r="M418" t="e">
        <f t="array" ref="M418">VLOOKUP(L418,books!B415,1,0)</f>
        <v>#N/A</v>
      </c>
      <c r="N418">
        <f>COUNTA(books!C417:'books'!ZZ417)</f>
        <v>0</v>
      </c>
      <c r="O418" t="e">
        <f t="array" ref="O418">AVERAGE(rating!C417:'rating'!ZZ417)</f>
        <v>#DIV/0!</v>
      </c>
      <c r="P418">
        <f>SUM(COUNTIF(rating!C417:ZZ417, 10))</f>
        <v>0</v>
      </c>
      <c r="R418">
        <f>COUNTA(year!C417:ZZ417)</f>
        <v>0</v>
      </c>
      <c r="S418">
        <f>COUNTA(books!C417:ZZ417)</f>
        <v>0</v>
      </c>
      <c r="T418">
        <f>COUNTA(rating!C417:ZZ417)</f>
        <v>0</v>
      </c>
      <c r="U418">
        <f t="shared" si="6"/>
        <v>0</v>
      </c>
    </row>
    <row r="419" spans="8:21" x14ac:dyDescent="0.35">
      <c r="H419" s="7" t="str">
        <v/>
      </c>
      <c r="J419" t="str">
        <v/>
      </c>
      <c r="K419" t="str">
        <v/>
      </c>
      <c r="M419" t="e">
        <f t="array" ref="M419">VLOOKUP(L419,books!B416,1,0)</f>
        <v>#N/A</v>
      </c>
      <c r="N419">
        <f>COUNTA(books!C418:'books'!ZZ418)</f>
        <v>0</v>
      </c>
      <c r="O419" t="e">
        <f t="array" ref="O419">AVERAGE(rating!C418:'rating'!ZZ418)</f>
        <v>#DIV/0!</v>
      </c>
      <c r="P419">
        <f>SUM(COUNTIF(rating!C418:ZZ418, 10))</f>
        <v>0</v>
      </c>
      <c r="R419">
        <f>COUNTA(year!C418:ZZ418)</f>
        <v>0</v>
      </c>
      <c r="S419">
        <f>COUNTA(books!C418:ZZ418)</f>
        <v>0</v>
      </c>
      <c r="T419">
        <f>COUNTA(rating!C418:ZZ418)</f>
        <v>0</v>
      </c>
      <c r="U419">
        <f t="shared" si="6"/>
        <v>0</v>
      </c>
    </row>
    <row r="420" spans="8:21" x14ac:dyDescent="0.35">
      <c r="H420" s="7" t="str">
        <v/>
      </c>
      <c r="J420" t="str">
        <v/>
      </c>
      <c r="K420" t="str">
        <v/>
      </c>
      <c r="M420" t="e">
        <f t="array" ref="M420">VLOOKUP(L420,books!B417,1,0)</f>
        <v>#N/A</v>
      </c>
      <c r="N420">
        <f>COUNTA(books!C419:'books'!ZZ419)</f>
        <v>0</v>
      </c>
      <c r="O420" t="e">
        <f t="array" ref="O420">AVERAGE(rating!C419:'rating'!ZZ419)</f>
        <v>#DIV/0!</v>
      </c>
      <c r="P420">
        <f>SUM(COUNTIF(rating!C419:ZZ419, 10))</f>
        <v>0</v>
      </c>
      <c r="R420">
        <f>COUNTA(year!C419:ZZ419)</f>
        <v>0</v>
      </c>
      <c r="S420">
        <f>COUNTA(books!C419:ZZ419)</f>
        <v>0</v>
      </c>
      <c r="T420">
        <f>COUNTA(rating!C419:ZZ419)</f>
        <v>0</v>
      </c>
      <c r="U420">
        <f t="shared" si="6"/>
        <v>0</v>
      </c>
    </row>
    <row r="421" spans="8:21" x14ac:dyDescent="0.35">
      <c r="H421" s="7" t="str">
        <v/>
      </c>
      <c r="J421" t="str">
        <v/>
      </c>
      <c r="K421" t="str">
        <v/>
      </c>
      <c r="M421" t="e">
        <f t="array" ref="M421">VLOOKUP(L421,books!B418,1,0)</f>
        <v>#N/A</v>
      </c>
      <c r="N421">
        <f>COUNTA(books!C420:'books'!ZZ420)</f>
        <v>0</v>
      </c>
      <c r="O421" t="e">
        <f t="array" ref="O421">AVERAGE(rating!C420:'rating'!ZZ420)</f>
        <v>#DIV/0!</v>
      </c>
      <c r="P421">
        <f>SUM(COUNTIF(rating!C420:ZZ420, 10))</f>
        <v>0</v>
      </c>
      <c r="R421">
        <f>COUNTA(year!C420:ZZ420)</f>
        <v>0</v>
      </c>
      <c r="S421">
        <f>COUNTA(books!C420:ZZ420)</f>
        <v>0</v>
      </c>
      <c r="T421">
        <f>COUNTA(rating!C420:ZZ420)</f>
        <v>0</v>
      </c>
      <c r="U421">
        <f t="shared" si="6"/>
        <v>0</v>
      </c>
    </row>
    <row r="422" spans="8:21" x14ac:dyDescent="0.35">
      <c r="H422" s="7" t="str">
        <v/>
      </c>
      <c r="J422" t="str">
        <v/>
      </c>
      <c r="K422" t="str">
        <v/>
      </c>
      <c r="M422" t="e">
        <f t="array" ref="M422">VLOOKUP(L422,books!B419,1,0)</f>
        <v>#N/A</v>
      </c>
      <c r="N422">
        <f>COUNTA(books!C421:'books'!ZZ421)</f>
        <v>0</v>
      </c>
      <c r="O422" t="e">
        <f t="array" ref="O422">AVERAGE(rating!C421:'rating'!ZZ421)</f>
        <v>#DIV/0!</v>
      </c>
      <c r="P422">
        <f>SUM(COUNTIF(rating!C421:ZZ421, 10))</f>
        <v>0</v>
      </c>
      <c r="R422">
        <f>COUNTA(year!C421:ZZ421)</f>
        <v>0</v>
      </c>
      <c r="S422">
        <f>COUNTA(books!C421:ZZ421)</f>
        <v>0</v>
      </c>
      <c r="T422">
        <f>COUNTA(rating!C421:ZZ421)</f>
        <v>0</v>
      </c>
      <c r="U422">
        <f t="shared" si="6"/>
        <v>0</v>
      </c>
    </row>
    <row r="423" spans="8:21" x14ac:dyDescent="0.35">
      <c r="H423" s="7" t="str">
        <v/>
      </c>
      <c r="J423" t="str">
        <v/>
      </c>
      <c r="K423" t="str">
        <v/>
      </c>
      <c r="M423" t="e">
        <f t="array" ref="M423">VLOOKUP(L423,books!B420,1,0)</f>
        <v>#N/A</v>
      </c>
      <c r="N423">
        <f>COUNTA(books!C422:'books'!ZZ422)</f>
        <v>0</v>
      </c>
      <c r="O423" t="e">
        <f t="array" ref="O423">AVERAGE(rating!C422:'rating'!ZZ422)</f>
        <v>#DIV/0!</v>
      </c>
      <c r="P423">
        <f>SUM(COUNTIF(rating!C422:ZZ422, 10))</f>
        <v>0</v>
      </c>
      <c r="R423">
        <f>COUNTA(year!C422:ZZ422)</f>
        <v>0</v>
      </c>
      <c r="S423">
        <f>COUNTA(books!C422:ZZ422)</f>
        <v>0</v>
      </c>
      <c r="T423">
        <f>COUNTA(rating!C422:ZZ422)</f>
        <v>0</v>
      </c>
      <c r="U423">
        <f t="shared" si="6"/>
        <v>0</v>
      </c>
    </row>
    <row r="424" spans="8:21" x14ac:dyDescent="0.35">
      <c r="H424" s="7" t="str">
        <v/>
      </c>
      <c r="J424" t="str">
        <v/>
      </c>
      <c r="K424" t="str">
        <v/>
      </c>
      <c r="M424" t="e">
        <f t="array" ref="M424">VLOOKUP(L424,books!B421,1,0)</f>
        <v>#N/A</v>
      </c>
      <c r="N424">
        <f>COUNTA(books!C423:'books'!ZZ423)</f>
        <v>0</v>
      </c>
      <c r="O424" t="e">
        <f t="array" ref="O424">AVERAGE(rating!C423:'rating'!ZZ423)</f>
        <v>#DIV/0!</v>
      </c>
      <c r="P424">
        <f>SUM(COUNTIF(rating!C423:ZZ423, 10))</f>
        <v>0</v>
      </c>
      <c r="R424">
        <f>COUNTA(year!C423:ZZ423)</f>
        <v>0</v>
      </c>
      <c r="S424">
        <f>COUNTA(books!C423:ZZ423)</f>
        <v>0</v>
      </c>
      <c r="T424">
        <f>COUNTA(rating!C423:ZZ423)</f>
        <v>0</v>
      </c>
      <c r="U424">
        <f t="shared" si="6"/>
        <v>0</v>
      </c>
    </row>
    <row r="425" spans="8:21" x14ac:dyDescent="0.35">
      <c r="H425" s="7" t="str">
        <v/>
      </c>
      <c r="J425" t="str">
        <v/>
      </c>
      <c r="K425" t="str">
        <v/>
      </c>
      <c r="M425" t="e">
        <f t="array" ref="M425">VLOOKUP(L425,books!B422,1,0)</f>
        <v>#N/A</v>
      </c>
      <c r="N425">
        <f>COUNTA(books!C424:'books'!ZZ424)</f>
        <v>0</v>
      </c>
      <c r="O425" t="e">
        <f t="array" ref="O425">AVERAGE(rating!C424:'rating'!ZZ424)</f>
        <v>#DIV/0!</v>
      </c>
      <c r="P425">
        <f>SUM(COUNTIF(rating!C424:ZZ424, 10))</f>
        <v>0</v>
      </c>
      <c r="R425">
        <f>COUNTA(year!C424:ZZ424)</f>
        <v>0</v>
      </c>
      <c r="S425">
        <f>COUNTA(books!C424:ZZ424)</f>
        <v>0</v>
      </c>
      <c r="T425">
        <f>COUNTA(rating!C424:ZZ424)</f>
        <v>0</v>
      </c>
      <c r="U425">
        <f t="shared" si="6"/>
        <v>0</v>
      </c>
    </row>
    <row r="426" spans="8:21" x14ac:dyDescent="0.35">
      <c r="H426" s="7" t="str">
        <v/>
      </c>
      <c r="J426" t="str">
        <v/>
      </c>
      <c r="K426" t="str">
        <v/>
      </c>
      <c r="M426" t="e">
        <f t="array" ref="M426">VLOOKUP(L426,books!B423,1,0)</f>
        <v>#N/A</v>
      </c>
      <c r="N426">
        <f>COUNTA(books!C425:'books'!ZZ425)</f>
        <v>0</v>
      </c>
      <c r="O426" t="e">
        <f t="array" ref="O426">AVERAGE(rating!C425:'rating'!ZZ425)</f>
        <v>#DIV/0!</v>
      </c>
      <c r="P426">
        <f>SUM(COUNTIF(rating!C425:ZZ425, 10))</f>
        <v>0</v>
      </c>
      <c r="R426">
        <f>COUNTA(year!C425:ZZ425)</f>
        <v>0</v>
      </c>
      <c r="S426">
        <f>COUNTA(books!C425:ZZ425)</f>
        <v>0</v>
      </c>
      <c r="T426">
        <f>COUNTA(rating!C425:ZZ425)</f>
        <v>0</v>
      </c>
      <c r="U426">
        <f t="shared" si="6"/>
        <v>0</v>
      </c>
    </row>
    <row r="427" spans="8:21" x14ac:dyDescent="0.35">
      <c r="H427" s="7" t="str">
        <v/>
      </c>
      <c r="J427" t="str">
        <v/>
      </c>
      <c r="K427" t="str">
        <v/>
      </c>
      <c r="M427" t="e">
        <f t="array" ref="M427">VLOOKUP(L427,books!B424,1,0)</f>
        <v>#N/A</v>
      </c>
      <c r="N427">
        <f>COUNTA(books!C426:'books'!ZZ426)</f>
        <v>0</v>
      </c>
      <c r="O427" t="e">
        <f t="array" ref="O427">AVERAGE(rating!C426:'rating'!ZZ426)</f>
        <v>#DIV/0!</v>
      </c>
      <c r="P427">
        <f>SUM(COUNTIF(rating!C426:ZZ426, 10))</f>
        <v>0</v>
      </c>
      <c r="R427">
        <f>COUNTA(year!C426:ZZ426)</f>
        <v>0</v>
      </c>
      <c r="S427">
        <f>COUNTA(books!C426:ZZ426)</f>
        <v>0</v>
      </c>
      <c r="T427">
        <f>COUNTA(rating!C426:ZZ426)</f>
        <v>0</v>
      </c>
      <c r="U427">
        <f t="shared" si="6"/>
        <v>0</v>
      </c>
    </row>
    <row r="428" spans="8:21" x14ac:dyDescent="0.35">
      <c r="H428" s="7" t="str">
        <v/>
      </c>
      <c r="J428" t="str">
        <v/>
      </c>
      <c r="K428" t="str">
        <v/>
      </c>
      <c r="M428" t="e">
        <f t="array" ref="M428">VLOOKUP(L428,books!B425,1,0)</f>
        <v>#N/A</v>
      </c>
      <c r="N428">
        <f>COUNTA(books!C427:'books'!ZZ427)</f>
        <v>0</v>
      </c>
      <c r="O428" t="e">
        <f t="array" ref="O428">AVERAGE(rating!C427:'rating'!ZZ427)</f>
        <v>#DIV/0!</v>
      </c>
      <c r="P428">
        <f>SUM(COUNTIF(rating!C427:ZZ427, 10))</f>
        <v>0</v>
      </c>
      <c r="R428">
        <f>COUNTA(year!C427:ZZ427)</f>
        <v>0</v>
      </c>
      <c r="S428">
        <f>COUNTA(books!C427:ZZ427)</f>
        <v>0</v>
      </c>
      <c r="T428">
        <f>COUNTA(rating!C427:ZZ427)</f>
        <v>0</v>
      </c>
      <c r="U428">
        <f t="shared" si="6"/>
        <v>0</v>
      </c>
    </row>
    <row r="429" spans="8:21" x14ac:dyDescent="0.35">
      <c r="H429" s="7" t="str">
        <v/>
      </c>
      <c r="J429" t="str">
        <v/>
      </c>
      <c r="K429" t="str">
        <v/>
      </c>
      <c r="M429" t="e">
        <f t="array" ref="M429">VLOOKUP(L429,books!B426,1,0)</f>
        <v>#N/A</v>
      </c>
      <c r="N429">
        <f>COUNTA(books!C428:'books'!ZZ428)</f>
        <v>0</v>
      </c>
      <c r="O429" t="e">
        <f t="array" ref="O429">AVERAGE(rating!C428:'rating'!ZZ428)</f>
        <v>#DIV/0!</v>
      </c>
      <c r="P429">
        <f>SUM(COUNTIF(rating!C428:ZZ428, 10))</f>
        <v>0</v>
      </c>
      <c r="R429">
        <f>COUNTA(year!C428:ZZ428)</f>
        <v>0</v>
      </c>
      <c r="S429">
        <f>COUNTA(books!C428:ZZ428)</f>
        <v>0</v>
      </c>
      <c r="T429">
        <f>COUNTA(rating!C428:ZZ428)</f>
        <v>0</v>
      </c>
      <c r="U429">
        <f t="shared" si="6"/>
        <v>0</v>
      </c>
    </row>
    <row r="430" spans="8:21" x14ac:dyDescent="0.35">
      <c r="H430" s="7" t="str">
        <v/>
      </c>
      <c r="J430" t="str">
        <v/>
      </c>
      <c r="K430" t="str">
        <v/>
      </c>
      <c r="M430" t="e">
        <f t="array" ref="M430">VLOOKUP(L430,books!B427,1,0)</f>
        <v>#N/A</v>
      </c>
      <c r="N430">
        <f>COUNTA(books!C429:'books'!ZZ429)</f>
        <v>0</v>
      </c>
      <c r="O430" t="e">
        <f t="array" ref="O430">AVERAGE(rating!C429:'rating'!ZZ429)</f>
        <v>#DIV/0!</v>
      </c>
      <c r="P430">
        <f>SUM(COUNTIF(rating!C429:ZZ429, 10))</f>
        <v>0</v>
      </c>
      <c r="R430">
        <f>COUNTA(year!C429:ZZ429)</f>
        <v>0</v>
      </c>
      <c r="S430">
        <f>COUNTA(books!C429:ZZ429)</f>
        <v>0</v>
      </c>
      <c r="T430">
        <f>COUNTA(rating!C429:ZZ429)</f>
        <v>0</v>
      </c>
      <c r="U430">
        <f t="shared" si="6"/>
        <v>0</v>
      </c>
    </row>
    <row r="431" spans="8:21" x14ac:dyDescent="0.35">
      <c r="H431" s="7" t="str">
        <v/>
      </c>
      <c r="J431" t="str">
        <v/>
      </c>
      <c r="K431" t="str">
        <v/>
      </c>
      <c r="M431" t="e">
        <f t="array" ref="M431">VLOOKUP(L431,books!B428,1,0)</f>
        <v>#N/A</v>
      </c>
      <c r="N431">
        <f>COUNTA(books!C430:'books'!ZZ430)</f>
        <v>0</v>
      </c>
      <c r="O431" t="e">
        <f t="array" ref="O431">AVERAGE(rating!C430:'rating'!ZZ430)</f>
        <v>#DIV/0!</v>
      </c>
      <c r="P431">
        <f>SUM(COUNTIF(rating!C430:ZZ430, 10))</f>
        <v>0</v>
      </c>
      <c r="R431">
        <f>COUNTA(year!C430:ZZ430)</f>
        <v>0</v>
      </c>
      <c r="S431">
        <f>COUNTA(books!C430:ZZ430)</f>
        <v>0</v>
      </c>
      <c r="T431">
        <f>COUNTA(rating!C430:ZZ430)</f>
        <v>0</v>
      </c>
      <c r="U431">
        <f t="shared" si="6"/>
        <v>0</v>
      </c>
    </row>
    <row r="432" spans="8:21" x14ac:dyDescent="0.35">
      <c r="H432" s="7" t="str">
        <v/>
      </c>
      <c r="J432" t="str">
        <v/>
      </c>
      <c r="K432" t="str">
        <v/>
      </c>
      <c r="M432" t="e">
        <f t="array" ref="M432">VLOOKUP(L432,books!B429,1,0)</f>
        <v>#N/A</v>
      </c>
      <c r="N432">
        <f>COUNTA(books!C431:'books'!ZZ431)</f>
        <v>0</v>
      </c>
      <c r="O432" t="e">
        <f t="array" ref="O432">AVERAGE(rating!C431:'rating'!ZZ431)</f>
        <v>#DIV/0!</v>
      </c>
      <c r="P432">
        <f>SUM(COUNTIF(rating!C431:ZZ431, 10))</f>
        <v>0</v>
      </c>
      <c r="R432">
        <f>COUNTA(year!C431:ZZ431)</f>
        <v>0</v>
      </c>
      <c r="S432">
        <f>COUNTA(books!C431:ZZ431)</f>
        <v>0</v>
      </c>
      <c r="T432">
        <f>COUNTA(rating!C431:ZZ431)</f>
        <v>0</v>
      </c>
      <c r="U432">
        <f t="shared" si="6"/>
        <v>0</v>
      </c>
    </row>
    <row r="433" spans="8:21" x14ac:dyDescent="0.35">
      <c r="H433" s="7" t="str">
        <v/>
      </c>
      <c r="J433" t="str">
        <v/>
      </c>
      <c r="K433" t="str">
        <v/>
      </c>
      <c r="M433" t="e">
        <f t="array" ref="M433">VLOOKUP(L433,books!B430,1,0)</f>
        <v>#N/A</v>
      </c>
      <c r="N433">
        <f>COUNTA(books!C432:'books'!ZZ432)</f>
        <v>0</v>
      </c>
      <c r="O433" t="e">
        <f t="array" ref="O433">AVERAGE(rating!C432:'rating'!ZZ432)</f>
        <v>#DIV/0!</v>
      </c>
      <c r="P433">
        <f>SUM(COUNTIF(rating!C432:ZZ432, 10))</f>
        <v>0</v>
      </c>
      <c r="R433">
        <f>COUNTA(year!C432:ZZ432)</f>
        <v>0</v>
      </c>
      <c r="S433">
        <f>COUNTA(books!C432:ZZ432)</f>
        <v>0</v>
      </c>
      <c r="T433">
        <f>COUNTA(rating!C432:ZZ432)</f>
        <v>0</v>
      </c>
      <c r="U433">
        <f t="shared" si="6"/>
        <v>0</v>
      </c>
    </row>
    <row r="434" spans="8:21" x14ac:dyDescent="0.35">
      <c r="H434" s="7" t="str">
        <v/>
      </c>
      <c r="J434" t="str">
        <v/>
      </c>
      <c r="K434" t="str">
        <v/>
      </c>
      <c r="M434" t="e">
        <f t="array" ref="M434">VLOOKUP(L434,books!B431,1,0)</f>
        <v>#N/A</v>
      </c>
      <c r="N434">
        <f>COUNTA(books!C433:'books'!ZZ433)</f>
        <v>0</v>
      </c>
      <c r="O434" t="e">
        <f t="array" ref="O434">AVERAGE(rating!C433:'rating'!ZZ433)</f>
        <v>#DIV/0!</v>
      </c>
      <c r="P434">
        <f>SUM(COUNTIF(rating!C433:ZZ433, 10))</f>
        <v>0</v>
      </c>
      <c r="R434">
        <f>COUNTA(year!C433:ZZ433)</f>
        <v>0</v>
      </c>
      <c r="S434">
        <f>COUNTA(books!C433:ZZ433)</f>
        <v>0</v>
      </c>
      <c r="T434">
        <f>COUNTA(rating!C433:ZZ433)</f>
        <v>0</v>
      </c>
      <c r="U434">
        <f t="shared" si="6"/>
        <v>0</v>
      </c>
    </row>
    <row r="435" spans="8:21" x14ac:dyDescent="0.35">
      <c r="H435" s="7" t="str">
        <v/>
      </c>
      <c r="J435" t="str">
        <v/>
      </c>
      <c r="K435" t="str">
        <v/>
      </c>
      <c r="M435" t="e">
        <f t="array" ref="M435">VLOOKUP(L435,books!B432,1,0)</f>
        <v>#N/A</v>
      </c>
      <c r="N435">
        <f>COUNTA(books!C434:'books'!ZZ434)</f>
        <v>0</v>
      </c>
      <c r="O435" t="e">
        <f t="array" ref="O435">AVERAGE(rating!C434:'rating'!ZZ434)</f>
        <v>#DIV/0!</v>
      </c>
      <c r="P435">
        <f>SUM(COUNTIF(rating!C434:ZZ434, 10))</f>
        <v>0</v>
      </c>
      <c r="R435">
        <f>COUNTA(year!C434:ZZ434)</f>
        <v>0</v>
      </c>
      <c r="S435">
        <f>COUNTA(books!C434:ZZ434)</f>
        <v>0</v>
      </c>
      <c r="T435">
        <f>COUNTA(rating!C434:ZZ434)</f>
        <v>0</v>
      </c>
      <c r="U435">
        <f t="shared" si="6"/>
        <v>0</v>
      </c>
    </row>
    <row r="436" spans="8:21" x14ac:dyDescent="0.35">
      <c r="H436" s="7" t="str">
        <v/>
      </c>
      <c r="J436" t="str">
        <v/>
      </c>
      <c r="K436" t="str">
        <v/>
      </c>
      <c r="M436" t="e">
        <f t="array" ref="M436">VLOOKUP(L436,books!B433,1,0)</f>
        <v>#N/A</v>
      </c>
      <c r="N436">
        <f>COUNTA(books!C435:'books'!ZZ435)</f>
        <v>0</v>
      </c>
      <c r="O436" t="e">
        <f t="array" ref="O436">AVERAGE(rating!C435:'rating'!ZZ435)</f>
        <v>#DIV/0!</v>
      </c>
      <c r="P436">
        <f>SUM(COUNTIF(rating!C435:ZZ435, 10))</f>
        <v>0</v>
      </c>
      <c r="R436">
        <f>COUNTA(year!C435:ZZ435)</f>
        <v>0</v>
      </c>
      <c r="S436">
        <f>COUNTA(books!C435:ZZ435)</f>
        <v>0</v>
      </c>
      <c r="T436">
        <f>COUNTA(rating!C435:ZZ435)</f>
        <v>0</v>
      </c>
      <c r="U436">
        <f t="shared" si="6"/>
        <v>0</v>
      </c>
    </row>
    <row r="437" spans="8:21" x14ac:dyDescent="0.35">
      <c r="H437" s="7" t="str">
        <v/>
      </c>
      <c r="J437" t="str">
        <v/>
      </c>
      <c r="K437" t="str">
        <v/>
      </c>
      <c r="M437" t="e">
        <f t="array" ref="M437">VLOOKUP(L437,books!B434,1,0)</f>
        <v>#N/A</v>
      </c>
      <c r="N437">
        <f>COUNTA(books!C436:'books'!ZZ436)</f>
        <v>0</v>
      </c>
      <c r="O437" t="e">
        <f t="array" ref="O437">AVERAGE(rating!C436:'rating'!ZZ436)</f>
        <v>#DIV/0!</v>
      </c>
      <c r="P437">
        <f>SUM(COUNTIF(rating!C436:ZZ436, 10))</f>
        <v>0</v>
      </c>
      <c r="R437">
        <f>COUNTA(year!C436:ZZ436)</f>
        <v>0</v>
      </c>
      <c r="S437">
        <f>COUNTA(books!C436:ZZ436)</f>
        <v>0</v>
      </c>
      <c r="T437">
        <f>COUNTA(rating!C436:ZZ436)</f>
        <v>0</v>
      </c>
      <c r="U437">
        <f t="shared" si="6"/>
        <v>0</v>
      </c>
    </row>
    <row r="438" spans="8:21" x14ac:dyDescent="0.35">
      <c r="H438" s="7" t="str">
        <v/>
      </c>
      <c r="J438" t="str">
        <v/>
      </c>
      <c r="K438" t="str">
        <v/>
      </c>
      <c r="M438" t="e">
        <f t="array" ref="M438">VLOOKUP(L438,books!B435,1,0)</f>
        <v>#N/A</v>
      </c>
      <c r="N438">
        <f>COUNTA(books!C437:'books'!ZZ437)</f>
        <v>0</v>
      </c>
      <c r="O438" t="e">
        <f t="array" ref="O438">AVERAGE(rating!C437:'rating'!ZZ437)</f>
        <v>#DIV/0!</v>
      </c>
      <c r="P438">
        <f>SUM(COUNTIF(rating!C437:ZZ437, 10))</f>
        <v>0</v>
      </c>
      <c r="R438">
        <f>COUNTA(year!C437:ZZ437)</f>
        <v>0</v>
      </c>
      <c r="S438">
        <f>COUNTA(books!C437:ZZ437)</f>
        <v>0</v>
      </c>
      <c r="T438">
        <f>COUNTA(rating!C437:ZZ437)</f>
        <v>0</v>
      </c>
      <c r="U438">
        <f t="shared" si="6"/>
        <v>0</v>
      </c>
    </row>
    <row r="439" spans="8:21" x14ac:dyDescent="0.35">
      <c r="H439" s="7" t="str">
        <v/>
      </c>
      <c r="J439" t="str">
        <v/>
      </c>
      <c r="K439" t="str">
        <v/>
      </c>
      <c r="M439" t="e">
        <f t="array" ref="M439">VLOOKUP(L439,books!B436,1,0)</f>
        <v>#N/A</v>
      </c>
      <c r="N439">
        <f>COUNTA(books!C438:'books'!ZZ438)</f>
        <v>0</v>
      </c>
      <c r="O439" t="e">
        <f t="array" ref="O439">AVERAGE(rating!C438:'rating'!ZZ438)</f>
        <v>#DIV/0!</v>
      </c>
      <c r="P439">
        <f>SUM(COUNTIF(rating!C438:ZZ438, 10))</f>
        <v>0</v>
      </c>
      <c r="R439">
        <f>COUNTA(year!C438:ZZ438)</f>
        <v>0</v>
      </c>
      <c r="S439">
        <f>COUNTA(books!C438:ZZ438)</f>
        <v>0</v>
      </c>
      <c r="T439">
        <f>COUNTA(rating!C438:ZZ438)</f>
        <v>0</v>
      </c>
      <c r="U439">
        <f t="shared" si="6"/>
        <v>0</v>
      </c>
    </row>
    <row r="440" spans="8:21" x14ac:dyDescent="0.35">
      <c r="H440" s="7" t="str">
        <v/>
      </c>
      <c r="J440" t="str">
        <v/>
      </c>
      <c r="K440" t="str">
        <v/>
      </c>
      <c r="M440" t="e">
        <f t="array" ref="M440">VLOOKUP(L440,books!B437,1,0)</f>
        <v>#N/A</v>
      </c>
      <c r="N440">
        <f>COUNTA(books!C439:'books'!ZZ439)</f>
        <v>0</v>
      </c>
      <c r="O440" t="e">
        <f t="array" ref="O440">AVERAGE(rating!C439:'rating'!ZZ439)</f>
        <v>#DIV/0!</v>
      </c>
      <c r="P440">
        <f>SUM(COUNTIF(rating!C439:ZZ439, 10))</f>
        <v>0</v>
      </c>
      <c r="R440">
        <f>COUNTA(year!C439:ZZ439)</f>
        <v>0</v>
      </c>
      <c r="S440">
        <f>COUNTA(books!C439:ZZ439)</f>
        <v>0</v>
      </c>
      <c r="T440">
        <f>COUNTA(rating!C439:ZZ439)</f>
        <v>0</v>
      </c>
      <c r="U440">
        <f t="shared" si="6"/>
        <v>0</v>
      </c>
    </row>
    <row r="441" spans="8:21" x14ac:dyDescent="0.35">
      <c r="H441" s="7" t="str">
        <v/>
      </c>
      <c r="J441" t="str">
        <v/>
      </c>
      <c r="K441" t="str">
        <v/>
      </c>
      <c r="M441" t="e">
        <f t="array" ref="M441">VLOOKUP(L441,books!B438,1,0)</f>
        <v>#N/A</v>
      </c>
      <c r="N441">
        <f>COUNTA(books!C440:'books'!ZZ440)</f>
        <v>0</v>
      </c>
      <c r="O441" t="e">
        <f t="array" ref="O441">AVERAGE(rating!C440:'rating'!ZZ440)</f>
        <v>#DIV/0!</v>
      </c>
      <c r="P441">
        <f>SUM(COUNTIF(rating!C440:ZZ440, 10))</f>
        <v>0</v>
      </c>
      <c r="R441">
        <f>COUNTA(year!C440:ZZ440)</f>
        <v>0</v>
      </c>
      <c r="S441">
        <f>COUNTA(books!C440:ZZ440)</f>
        <v>0</v>
      </c>
      <c r="T441">
        <f>COUNTA(rating!C440:ZZ440)</f>
        <v>0</v>
      </c>
      <c r="U441">
        <f t="shared" si="6"/>
        <v>0</v>
      </c>
    </row>
    <row r="442" spans="8:21" x14ac:dyDescent="0.35">
      <c r="H442" s="7" t="str">
        <v/>
      </c>
      <c r="J442" t="str">
        <v/>
      </c>
      <c r="K442" t="str">
        <v/>
      </c>
      <c r="M442" t="e">
        <f t="array" ref="M442">VLOOKUP(L442,books!B439,1,0)</f>
        <v>#N/A</v>
      </c>
      <c r="N442">
        <f>COUNTA(books!C441:'books'!ZZ441)</f>
        <v>0</v>
      </c>
      <c r="O442" t="e">
        <f t="array" ref="O442">AVERAGE(rating!C441:'rating'!ZZ441)</f>
        <v>#DIV/0!</v>
      </c>
      <c r="P442">
        <f>SUM(COUNTIF(rating!C441:ZZ441, 10))</f>
        <v>0</v>
      </c>
      <c r="R442">
        <f>COUNTA(year!C441:ZZ441)</f>
        <v>0</v>
      </c>
      <c r="S442">
        <f>COUNTA(books!C441:ZZ441)</f>
        <v>0</v>
      </c>
      <c r="T442">
        <f>COUNTA(rating!C441:ZZ441)</f>
        <v>0</v>
      </c>
      <c r="U442">
        <f t="shared" si="6"/>
        <v>0</v>
      </c>
    </row>
    <row r="443" spans="8:21" x14ac:dyDescent="0.35">
      <c r="H443" s="7" t="str">
        <v/>
      </c>
      <c r="J443" t="str">
        <v/>
      </c>
      <c r="K443" t="str">
        <v/>
      </c>
      <c r="M443" t="e">
        <f t="array" ref="M443">VLOOKUP(L443,books!B440,1,0)</f>
        <v>#N/A</v>
      </c>
      <c r="N443">
        <f>COUNTA(books!C442:'books'!ZZ442)</f>
        <v>0</v>
      </c>
      <c r="O443" t="e">
        <f t="array" ref="O443">AVERAGE(rating!C442:'rating'!ZZ442)</f>
        <v>#DIV/0!</v>
      </c>
      <c r="P443">
        <f>SUM(COUNTIF(rating!C442:ZZ442, 10))</f>
        <v>0</v>
      </c>
      <c r="R443">
        <f>COUNTA(year!C442:ZZ442)</f>
        <v>0</v>
      </c>
      <c r="S443">
        <f>COUNTA(books!C442:ZZ442)</f>
        <v>0</v>
      </c>
      <c r="T443">
        <f>COUNTA(rating!C442:ZZ442)</f>
        <v>0</v>
      </c>
      <c r="U443">
        <f t="shared" si="6"/>
        <v>0</v>
      </c>
    </row>
    <row r="444" spans="8:21" x14ac:dyDescent="0.35">
      <c r="H444" s="7" t="str">
        <v/>
      </c>
      <c r="J444" t="str">
        <v/>
      </c>
      <c r="K444" t="str">
        <v/>
      </c>
      <c r="M444" t="e">
        <f t="array" ref="M444">VLOOKUP(L444,books!B441,1,0)</f>
        <v>#N/A</v>
      </c>
      <c r="N444">
        <f>COUNTA(books!C443:'books'!ZZ443)</f>
        <v>0</v>
      </c>
      <c r="O444" t="e">
        <f t="array" ref="O444">AVERAGE(rating!C443:'rating'!ZZ443)</f>
        <v>#DIV/0!</v>
      </c>
      <c r="P444">
        <f>SUM(COUNTIF(rating!C443:ZZ443, 10))</f>
        <v>0</v>
      </c>
      <c r="R444">
        <f>COUNTA(year!C443:ZZ443)</f>
        <v>0</v>
      </c>
      <c r="S444">
        <f>COUNTA(books!C443:ZZ443)</f>
        <v>0</v>
      </c>
      <c r="T444">
        <f>COUNTA(rating!C443:ZZ443)</f>
        <v>0</v>
      </c>
      <c r="U444">
        <f t="shared" si="6"/>
        <v>0</v>
      </c>
    </row>
    <row r="445" spans="8:21" x14ac:dyDescent="0.35">
      <c r="H445" s="7" t="str">
        <v/>
      </c>
      <c r="J445" t="str">
        <v/>
      </c>
      <c r="K445" t="str">
        <v/>
      </c>
      <c r="M445" t="e">
        <f t="array" ref="M445">VLOOKUP(L445,books!B442,1,0)</f>
        <v>#N/A</v>
      </c>
      <c r="N445">
        <f>COUNTA(books!C444:'books'!ZZ444)</f>
        <v>0</v>
      </c>
      <c r="O445" t="e">
        <f t="array" ref="O445">AVERAGE(rating!C444:'rating'!ZZ444)</f>
        <v>#DIV/0!</v>
      </c>
      <c r="P445">
        <f>SUM(COUNTIF(rating!C444:ZZ444, 10))</f>
        <v>0</v>
      </c>
      <c r="R445">
        <f>COUNTA(year!C444:ZZ444)</f>
        <v>0</v>
      </c>
      <c r="S445">
        <f>COUNTA(books!C444:ZZ444)</f>
        <v>0</v>
      </c>
      <c r="T445">
        <f>COUNTA(rating!C444:ZZ444)</f>
        <v>0</v>
      </c>
      <c r="U445">
        <f t="shared" si="6"/>
        <v>0</v>
      </c>
    </row>
    <row r="446" spans="8:21" x14ac:dyDescent="0.35">
      <c r="H446" s="7" t="str">
        <v/>
      </c>
      <c r="J446" t="str">
        <v/>
      </c>
      <c r="K446" t="str">
        <v/>
      </c>
      <c r="M446" t="e">
        <f t="array" ref="M446">VLOOKUP(L446,books!B443,1,0)</f>
        <v>#N/A</v>
      </c>
      <c r="N446">
        <f>COUNTA(books!C445:'books'!ZZ445)</f>
        <v>0</v>
      </c>
      <c r="O446" t="e">
        <f t="array" ref="O446">AVERAGE(rating!C445:'rating'!ZZ445)</f>
        <v>#DIV/0!</v>
      </c>
      <c r="P446">
        <f>SUM(COUNTIF(rating!C445:ZZ445, 10))</f>
        <v>0</v>
      </c>
      <c r="R446">
        <f>COUNTA(year!C445:ZZ445)</f>
        <v>0</v>
      </c>
      <c r="S446">
        <f>COUNTA(books!C445:ZZ445)</f>
        <v>0</v>
      </c>
      <c r="T446">
        <f>COUNTA(rating!C445:ZZ445)</f>
        <v>0</v>
      </c>
      <c r="U446">
        <f t="shared" si="6"/>
        <v>0</v>
      </c>
    </row>
    <row r="447" spans="8:21" x14ac:dyDescent="0.35">
      <c r="H447" s="7" t="str">
        <v/>
      </c>
      <c r="J447" t="str">
        <v/>
      </c>
      <c r="K447" t="str">
        <v/>
      </c>
      <c r="M447" t="e">
        <f t="array" ref="M447">VLOOKUP(L447,books!B444,1,0)</f>
        <v>#N/A</v>
      </c>
      <c r="N447">
        <f>COUNTA(books!C446:'books'!ZZ446)</f>
        <v>0</v>
      </c>
      <c r="O447" t="e">
        <f t="array" ref="O447">AVERAGE(rating!C446:'rating'!ZZ446)</f>
        <v>#DIV/0!</v>
      </c>
      <c r="P447">
        <f>SUM(COUNTIF(rating!C446:ZZ446, 10))</f>
        <v>0</v>
      </c>
      <c r="R447">
        <f>COUNTA(year!C446:ZZ446)</f>
        <v>0</v>
      </c>
      <c r="S447">
        <f>COUNTA(books!C446:ZZ446)</f>
        <v>0</v>
      </c>
      <c r="T447">
        <f>COUNTA(rating!C446:ZZ446)</f>
        <v>0</v>
      </c>
      <c r="U447">
        <f t="shared" si="6"/>
        <v>0</v>
      </c>
    </row>
    <row r="448" spans="8:21" x14ac:dyDescent="0.35">
      <c r="H448" s="7" t="str">
        <v/>
      </c>
      <c r="J448" t="str">
        <v/>
      </c>
      <c r="K448" t="str">
        <v/>
      </c>
      <c r="M448" t="e">
        <f t="array" ref="M448">VLOOKUP(L448,books!B445,1,0)</f>
        <v>#N/A</v>
      </c>
      <c r="N448">
        <f>COUNTA(books!C447:'books'!ZZ447)</f>
        <v>0</v>
      </c>
      <c r="O448" t="e">
        <f t="array" ref="O448">AVERAGE(rating!C447:'rating'!ZZ447)</f>
        <v>#DIV/0!</v>
      </c>
      <c r="P448">
        <f>SUM(COUNTIF(rating!C447:ZZ447, 10))</f>
        <v>0</v>
      </c>
      <c r="R448">
        <f>COUNTA(year!C447:ZZ447)</f>
        <v>0</v>
      </c>
      <c r="S448">
        <f>COUNTA(books!C447:ZZ447)</f>
        <v>0</v>
      </c>
      <c r="T448">
        <f>COUNTA(rating!C447:ZZ447)</f>
        <v>0</v>
      </c>
      <c r="U448">
        <f t="shared" si="6"/>
        <v>0</v>
      </c>
    </row>
    <row r="449" spans="8:21" x14ac:dyDescent="0.35">
      <c r="H449" s="7" t="str">
        <v/>
      </c>
      <c r="J449" t="str">
        <v/>
      </c>
      <c r="K449" t="str">
        <v/>
      </c>
      <c r="M449" t="e">
        <f t="array" ref="M449">VLOOKUP(L449,books!B446,1,0)</f>
        <v>#N/A</v>
      </c>
      <c r="N449">
        <f>COUNTA(books!C448:'books'!ZZ448)</f>
        <v>0</v>
      </c>
      <c r="O449" t="e">
        <f t="array" ref="O449">AVERAGE(rating!C448:'rating'!ZZ448)</f>
        <v>#DIV/0!</v>
      </c>
      <c r="P449">
        <f>SUM(COUNTIF(rating!C448:ZZ448, 10))</f>
        <v>0</v>
      </c>
      <c r="R449">
        <f>COUNTA(year!C448:ZZ448)</f>
        <v>0</v>
      </c>
      <c r="S449">
        <f>COUNTA(books!C448:ZZ448)</f>
        <v>0</v>
      </c>
      <c r="T449">
        <f>COUNTA(rating!C448:ZZ448)</f>
        <v>0</v>
      </c>
      <c r="U449">
        <f t="shared" si="6"/>
        <v>0</v>
      </c>
    </row>
    <row r="450" spans="8:21" x14ac:dyDescent="0.35">
      <c r="H450" s="7" t="str">
        <v/>
      </c>
      <c r="J450" t="str">
        <v/>
      </c>
      <c r="K450" t="str">
        <v/>
      </c>
      <c r="M450" t="e">
        <f t="array" ref="M450">VLOOKUP(L450,books!B447,1,0)</f>
        <v>#N/A</v>
      </c>
      <c r="N450">
        <f>COUNTA(books!C449:'books'!ZZ449)</f>
        <v>0</v>
      </c>
      <c r="O450" t="e">
        <f t="array" ref="O450">AVERAGE(rating!C449:'rating'!ZZ449)</f>
        <v>#DIV/0!</v>
      </c>
      <c r="P450">
        <f>SUM(COUNTIF(rating!C449:ZZ449, 10))</f>
        <v>0</v>
      </c>
      <c r="R450">
        <f>COUNTA(year!C449:ZZ449)</f>
        <v>0</v>
      </c>
      <c r="S450">
        <f>COUNTA(books!C449:ZZ449)</f>
        <v>0</v>
      </c>
      <c r="T450">
        <f>COUNTA(rating!C449:ZZ449)</f>
        <v>0</v>
      </c>
      <c r="U450">
        <f t="shared" si="6"/>
        <v>0</v>
      </c>
    </row>
    <row r="451" spans="8:21" x14ac:dyDescent="0.35">
      <c r="H451" s="7" t="str">
        <v/>
      </c>
      <c r="J451" t="str">
        <v/>
      </c>
      <c r="K451" t="str">
        <v/>
      </c>
      <c r="M451" t="e">
        <f t="array" ref="M451">VLOOKUP(L451,books!B448,1,0)</f>
        <v>#N/A</v>
      </c>
      <c r="N451">
        <f>COUNTA(books!C450:'books'!ZZ450)</f>
        <v>0</v>
      </c>
      <c r="O451" t="e">
        <f t="array" ref="O451">AVERAGE(rating!C450:'rating'!ZZ450)</f>
        <v>#DIV/0!</v>
      </c>
      <c r="P451">
        <f>SUM(COUNTIF(rating!C450:ZZ450, 10))</f>
        <v>0</v>
      </c>
      <c r="R451">
        <f>COUNTA(year!C450:ZZ450)</f>
        <v>0</v>
      </c>
      <c r="S451">
        <f>COUNTA(books!C450:ZZ450)</f>
        <v>0</v>
      </c>
      <c r="T451">
        <f>COUNTA(rating!C450:ZZ450)</f>
        <v>0</v>
      </c>
      <c r="U451">
        <f t="shared" ref="U451:U514" si="7">R451-T451</f>
        <v>0</v>
      </c>
    </row>
    <row r="452" spans="8:21" x14ac:dyDescent="0.35">
      <c r="H452" s="7" t="str">
        <v/>
      </c>
      <c r="J452" t="str">
        <v/>
      </c>
      <c r="K452" t="str">
        <v/>
      </c>
      <c r="M452" t="e">
        <f t="array" ref="M452">VLOOKUP(L452,books!B449,1,0)</f>
        <v>#N/A</v>
      </c>
      <c r="N452">
        <f>COUNTA(books!C451:'books'!ZZ451)</f>
        <v>0</v>
      </c>
      <c r="O452" t="e">
        <f t="array" ref="O452">AVERAGE(rating!C451:'rating'!ZZ451)</f>
        <v>#DIV/0!</v>
      </c>
      <c r="P452">
        <f>SUM(COUNTIF(rating!C451:ZZ451, 10))</f>
        <v>0</v>
      </c>
      <c r="R452">
        <f>COUNTA(year!C451:ZZ451)</f>
        <v>0</v>
      </c>
      <c r="S452">
        <f>COUNTA(books!C451:ZZ451)</f>
        <v>0</v>
      </c>
      <c r="T452">
        <f>COUNTA(rating!C451:ZZ451)</f>
        <v>0</v>
      </c>
      <c r="U452">
        <f t="shared" si="7"/>
        <v>0</v>
      </c>
    </row>
    <row r="453" spans="8:21" x14ac:dyDescent="0.35">
      <c r="H453" s="7" t="str">
        <v/>
      </c>
      <c r="J453" t="str">
        <v/>
      </c>
      <c r="K453" t="str">
        <v/>
      </c>
      <c r="M453" t="e">
        <f t="array" ref="M453">VLOOKUP(L453,books!B450,1,0)</f>
        <v>#N/A</v>
      </c>
      <c r="N453">
        <f>COUNTA(books!C452:'books'!ZZ452)</f>
        <v>0</v>
      </c>
      <c r="O453" t="e">
        <f t="array" ref="O453">AVERAGE(rating!C452:'rating'!ZZ452)</f>
        <v>#DIV/0!</v>
      </c>
      <c r="P453">
        <f>SUM(COUNTIF(rating!C452:ZZ452, 10))</f>
        <v>0</v>
      </c>
      <c r="R453">
        <f>COUNTA(year!C452:ZZ452)</f>
        <v>0</v>
      </c>
      <c r="S453">
        <f>COUNTA(books!C452:ZZ452)</f>
        <v>0</v>
      </c>
      <c r="T453">
        <f>COUNTA(rating!C452:ZZ452)</f>
        <v>0</v>
      </c>
      <c r="U453">
        <f t="shared" si="7"/>
        <v>0</v>
      </c>
    </row>
    <row r="454" spans="8:21" x14ac:dyDescent="0.35">
      <c r="H454" s="7" t="str">
        <v/>
      </c>
      <c r="J454" t="str">
        <v/>
      </c>
      <c r="K454" t="str">
        <v/>
      </c>
      <c r="M454" t="e">
        <f t="array" ref="M454">VLOOKUP(L454,books!B451,1,0)</f>
        <v>#N/A</v>
      </c>
      <c r="N454">
        <f>COUNTA(books!C453:'books'!ZZ453)</f>
        <v>0</v>
      </c>
      <c r="O454" t="e">
        <f t="array" ref="O454">AVERAGE(rating!C453:'rating'!ZZ453)</f>
        <v>#DIV/0!</v>
      </c>
      <c r="P454">
        <f>SUM(COUNTIF(rating!C453:ZZ453, 10))</f>
        <v>0</v>
      </c>
      <c r="R454">
        <f>COUNTA(year!C453:ZZ453)</f>
        <v>0</v>
      </c>
      <c r="S454">
        <f>COUNTA(books!C453:ZZ453)</f>
        <v>0</v>
      </c>
      <c r="T454">
        <f>COUNTA(rating!C453:ZZ453)</f>
        <v>0</v>
      </c>
      <c r="U454">
        <f t="shared" si="7"/>
        <v>0</v>
      </c>
    </row>
    <row r="455" spans="8:21" x14ac:dyDescent="0.35">
      <c r="H455" s="7" t="str">
        <v/>
      </c>
      <c r="J455" t="str">
        <v/>
      </c>
      <c r="K455" t="str">
        <v/>
      </c>
      <c r="M455" t="e">
        <f t="array" ref="M455">VLOOKUP(L455,books!B452,1,0)</f>
        <v>#N/A</v>
      </c>
      <c r="N455">
        <f>COUNTA(books!C454:'books'!ZZ454)</f>
        <v>0</v>
      </c>
      <c r="O455" t="e">
        <f t="array" ref="O455">AVERAGE(rating!C454:'rating'!ZZ454)</f>
        <v>#DIV/0!</v>
      </c>
      <c r="P455">
        <f>SUM(COUNTIF(rating!C454:ZZ454, 10))</f>
        <v>0</v>
      </c>
      <c r="R455">
        <f>COUNTA(year!C454:ZZ454)</f>
        <v>0</v>
      </c>
      <c r="S455">
        <f>COUNTA(books!C454:ZZ454)</f>
        <v>0</v>
      </c>
      <c r="T455">
        <f>COUNTA(rating!C454:ZZ454)</f>
        <v>0</v>
      </c>
      <c r="U455">
        <f t="shared" si="7"/>
        <v>0</v>
      </c>
    </row>
    <row r="456" spans="8:21" x14ac:dyDescent="0.35">
      <c r="H456" s="7" t="str">
        <v/>
      </c>
      <c r="J456" t="str">
        <v/>
      </c>
      <c r="K456" t="str">
        <v/>
      </c>
      <c r="M456" t="e">
        <f t="array" ref="M456">VLOOKUP(L456,books!B453,1,0)</f>
        <v>#N/A</v>
      </c>
      <c r="N456">
        <f>COUNTA(books!C455:'books'!ZZ455)</f>
        <v>0</v>
      </c>
      <c r="O456" t="e">
        <f t="array" ref="O456">AVERAGE(rating!C455:'rating'!ZZ455)</f>
        <v>#DIV/0!</v>
      </c>
      <c r="P456">
        <f>SUM(COUNTIF(rating!C455:ZZ455, 10))</f>
        <v>0</v>
      </c>
      <c r="R456">
        <f>COUNTA(year!C455:ZZ455)</f>
        <v>0</v>
      </c>
      <c r="S456">
        <f>COUNTA(books!C455:ZZ455)</f>
        <v>0</v>
      </c>
      <c r="T456">
        <f>COUNTA(rating!C455:ZZ455)</f>
        <v>0</v>
      </c>
      <c r="U456">
        <f t="shared" si="7"/>
        <v>0</v>
      </c>
    </row>
    <row r="457" spans="8:21" x14ac:dyDescent="0.35">
      <c r="H457" s="7" t="str">
        <v/>
      </c>
      <c r="J457" t="str">
        <v/>
      </c>
      <c r="K457" t="str">
        <v/>
      </c>
      <c r="M457" t="e">
        <f t="array" ref="M457">VLOOKUP(L457,books!B454,1,0)</f>
        <v>#N/A</v>
      </c>
      <c r="N457">
        <f>COUNTA(books!C456:'books'!ZZ456)</f>
        <v>0</v>
      </c>
      <c r="O457" t="e">
        <f t="array" ref="O457">AVERAGE(rating!C456:'rating'!ZZ456)</f>
        <v>#DIV/0!</v>
      </c>
      <c r="P457">
        <f>SUM(COUNTIF(rating!C456:ZZ456, 10))</f>
        <v>0</v>
      </c>
      <c r="R457">
        <f>COUNTA(year!C456:ZZ456)</f>
        <v>0</v>
      </c>
      <c r="S457">
        <f>COUNTA(books!C456:ZZ456)</f>
        <v>0</v>
      </c>
      <c r="T457">
        <f>COUNTA(rating!C456:ZZ456)</f>
        <v>0</v>
      </c>
      <c r="U457">
        <f t="shared" si="7"/>
        <v>0</v>
      </c>
    </row>
    <row r="458" spans="8:21" x14ac:dyDescent="0.35">
      <c r="H458" s="7" t="str">
        <v/>
      </c>
      <c r="J458" t="str">
        <v/>
      </c>
      <c r="K458" t="str">
        <v/>
      </c>
      <c r="M458" t="e">
        <f t="array" ref="M458">VLOOKUP(L458,books!B455,1,0)</f>
        <v>#N/A</v>
      </c>
      <c r="N458">
        <f>COUNTA(books!C457:'books'!ZZ457)</f>
        <v>0</v>
      </c>
      <c r="O458" t="e">
        <f t="array" ref="O458">AVERAGE(rating!C457:'rating'!ZZ457)</f>
        <v>#DIV/0!</v>
      </c>
      <c r="P458">
        <f>SUM(COUNTIF(rating!C457:ZZ457, 10))</f>
        <v>0</v>
      </c>
      <c r="R458">
        <f>COUNTA(year!C457:ZZ457)</f>
        <v>0</v>
      </c>
      <c r="S458">
        <f>COUNTA(books!C457:ZZ457)</f>
        <v>0</v>
      </c>
      <c r="T458">
        <f>COUNTA(rating!C457:ZZ457)</f>
        <v>0</v>
      </c>
      <c r="U458">
        <f t="shared" si="7"/>
        <v>0</v>
      </c>
    </row>
    <row r="459" spans="8:21" x14ac:dyDescent="0.35">
      <c r="H459" s="7" t="str">
        <v/>
      </c>
      <c r="J459" t="str">
        <v/>
      </c>
      <c r="K459" t="str">
        <v/>
      </c>
      <c r="M459" t="e">
        <f t="array" ref="M459">VLOOKUP(L459,books!B456,1,0)</f>
        <v>#N/A</v>
      </c>
      <c r="N459">
        <f>COUNTA(books!C458:'books'!ZZ458)</f>
        <v>0</v>
      </c>
      <c r="O459" t="e">
        <f t="array" ref="O459">AVERAGE(rating!C458:'rating'!ZZ458)</f>
        <v>#DIV/0!</v>
      </c>
      <c r="P459">
        <f>SUM(COUNTIF(rating!C458:ZZ458, 10))</f>
        <v>0</v>
      </c>
      <c r="R459">
        <f>COUNTA(year!C458:ZZ458)</f>
        <v>0</v>
      </c>
      <c r="S459">
        <f>COUNTA(books!C458:ZZ458)</f>
        <v>0</v>
      </c>
      <c r="T459">
        <f>COUNTA(rating!C458:ZZ458)</f>
        <v>0</v>
      </c>
      <c r="U459">
        <f t="shared" si="7"/>
        <v>0</v>
      </c>
    </row>
    <row r="460" spans="8:21" x14ac:dyDescent="0.35">
      <c r="H460" s="7" t="str">
        <v/>
      </c>
      <c r="J460" t="str">
        <v/>
      </c>
      <c r="K460" t="str">
        <v/>
      </c>
      <c r="M460" t="e">
        <f t="array" ref="M460">VLOOKUP(L460,books!B457,1,0)</f>
        <v>#N/A</v>
      </c>
      <c r="N460">
        <f>COUNTA(books!C459:'books'!ZZ459)</f>
        <v>0</v>
      </c>
      <c r="O460" t="e">
        <f t="array" ref="O460">AVERAGE(rating!C459:'rating'!ZZ459)</f>
        <v>#DIV/0!</v>
      </c>
      <c r="P460">
        <f>SUM(COUNTIF(rating!C459:ZZ459, 10))</f>
        <v>0</v>
      </c>
      <c r="R460">
        <f>COUNTA(year!C459:ZZ459)</f>
        <v>0</v>
      </c>
      <c r="S460">
        <f>COUNTA(books!C459:ZZ459)</f>
        <v>0</v>
      </c>
      <c r="T460">
        <f>COUNTA(rating!C459:ZZ459)</f>
        <v>0</v>
      </c>
      <c r="U460">
        <f t="shared" si="7"/>
        <v>0</v>
      </c>
    </row>
    <row r="461" spans="8:21" x14ac:dyDescent="0.35">
      <c r="H461" s="7" t="str">
        <v/>
      </c>
      <c r="J461" t="str">
        <v/>
      </c>
      <c r="K461" t="str">
        <v/>
      </c>
      <c r="M461" t="e">
        <f t="array" ref="M461">VLOOKUP(L461,books!B458,1,0)</f>
        <v>#N/A</v>
      </c>
      <c r="N461">
        <f>COUNTA(books!C460:'books'!ZZ460)</f>
        <v>0</v>
      </c>
      <c r="O461" t="e">
        <f t="array" ref="O461">AVERAGE(rating!C460:'rating'!ZZ460)</f>
        <v>#DIV/0!</v>
      </c>
      <c r="P461">
        <f>SUM(COUNTIF(rating!C460:ZZ460, 10))</f>
        <v>0</v>
      </c>
      <c r="R461">
        <f>COUNTA(year!C460:ZZ460)</f>
        <v>0</v>
      </c>
      <c r="S461">
        <f>COUNTA(books!C460:ZZ460)</f>
        <v>0</v>
      </c>
      <c r="T461">
        <f>COUNTA(rating!C460:ZZ460)</f>
        <v>0</v>
      </c>
      <c r="U461">
        <f t="shared" si="7"/>
        <v>0</v>
      </c>
    </row>
    <row r="462" spans="8:21" x14ac:dyDescent="0.35">
      <c r="H462" s="7" t="str">
        <v/>
      </c>
      <c r="J462" t="str">
        <v/>
      </c>
      <c r="K462" t="str">
        <v/>
      </c>
      <c r="M462" t="e">
        <f t="array" ref="M462">VLOOKUP(L462,books!B459,1,0)</f>
        <v>#N/A</v>
      </c>
      <c r="N462">
        <f>COUNTA(books!C461:'books'!ZZ461)</f>
        <v>0</v>
      </c>
      <c r="O462" t="e">
        <f t="array" ref="O462">AVERAGE(rating!C461:'rating'!ZZ461)</f>
        <v>#DIV/0!</v>
      </c>
      <c r="P462">
        <f>SUM(COUNTIF(rating!C461:ZZ461, 10))</f>
        <v>0</v>
      </c>
      <c r="R462">
        <f>COUNTA(year!C461:ZZ461)</f>
        <v>0</v>
      </c>
      <c r="S462">
        <f>COUNTA(books!C461:ZZ461)</f>
        <v>0</v>
      </c>
      <c r="T462">
        <f>COUNTA(rating!C461:ZZ461)</f>
        <v>0</v>
      </c>
      <c r="U462">
        <f t="shared" si="7"/>
        <v>0</v>
      </c>
    </row>
    <row r="463" spans="8:21" x14ac:dyDescent="0.35">
      <c r="H463" s="7" t="str">
        <v/>
      </c>
      <c r="J463" t="str">
        <v/>
      </c>
      <c r="K463" t="str">
        <v/>
      </c>
      <c r="M463" t="e">
        <f t="array" ref="M463">VLOOKUP(L463,books!B460,1,0)</f>
        <v>#N/A</v>
      </c>
      <c r="N463">
        <f>COUNTA(books!C462:'books'!ZZ462)</f>
        <v>0</v>
      </c>
      <c r="O463" t="e">
        <f t="array" ref="O463">AVERAGE(rating!C462:'rating'!ZZ462)</f>
        <v>#DIV/0!</v>
      </c>
      <c r="P463">
        <f>SUM(COUNTIF(rating!C462:ZZ462, 10))</f>
        <v>0</v>
      </c>
      <c r="R463">
        <f>COUNTA(year!C462:ZZ462)</f>
        <v>0</v>
      </c>
      <c r="S463">
        <f>COUNTA(books!C462:ZZ462)</f>
        <v>0</v>
      </c>
      <c r="T463">
        <f>COUNTA(rating!C462:ZZ462)</f>
        <v>0</v>
      </c>
      <c r="U463">
        <f t="shared" si="7"/>
        <v>0</v>
      </c>
    </row>
    <row r="464" spans="8:21" x14ac:dyDescent="0.35">
      <c r="H464" s="7" t="str">
        <v/>
      </c>
      <c r="J464" t="str">
        <v/>
      </c>
      <c r="K464" t="str">
        <v/>
      </c>
      <c r="M464" t="e">
        <f t="array" ref="M464">VLOOKUP(L464,books!B461,1,0)</f>
        <v>#N/A</v>
      </c>
      <c r="N464">
        <f>COUNTA(books!C463:'books'!ZZ463)</f>
        <v>0</v>
      </c>
      <c r="O464" t="e">
        <f t="array" ref="O464">AVERAGE(rating!C463:'rating'!ZZ463)</f>
        <v>#DIV/0!</v>
      </c>
      <c r="P464">
        <f>SUM(COUNTIF(rating!C463:ZZ463, 10))</f>
        <v>0</v>
      </c>
      <c r="R464">
        <f>COUNTA(year!C463:ZZ463)</f>
        <v>0</v>
      </c>
      <c r="S464">
        <f>COUNTA(books!C463:ZZ463)</f>
        <v>0</v>
      </c>
      <c r="T464">
        <f>COUNTA(rating!C463:ZZ463)</f>
        <v>0</v>
      </c>
      <c r="U464">
        <f t="shared" si="7"/>
        <v>0</v>
      </c>
    </row>
    <row r="465" spans="8:21" x14ac:dyDescent="0.35">
      <c r="H465" s="7" t="str">
        <v/>
      </c>
      <c r="J465" t="str">
        <v/>
      </c>
      <c r="K465" t="str">
        <v/>
      </c>
      <c r="M465" t="e">
        <f t="array" ref="M465">VLOOKUP(L465,books!B462,1,0)</f>
        <v>#N/A</v>
      </c>
      <c r="N465">
        <f>COUNTA(books!C464:'books'!ZZ464)</f>
        <v>0</v>
      </c>
      <c r="O465" t="e">
        <f t="array" ref="O465">AVERAGE(rating!C464:'rating'!ZZ464)</f>
        <v>#DIV/0!</v>
      </c>
      <c r="P465">
        <f>SUM(COUNTIF(rating!C464:ZZ464, 10))</f>
        <v>0</v>
      </c>
      <c r="R465">
        <f>COUNTA(year!C464:ZZ464)</f>
        <v>0</v>
      </c>
      <c r="S465">
        <f>COUNTA(books!C464:ZZ464)</f>
        <v>0</v>
      </c>
      <c r="T465">
        <f>COUNTA(rating!C464:ZZ464)</f>
        <v>0</v>
      </c>
      <c r="U465">
        <f t="shared" si="7"/>
        <v>0</v>
      </c>
    </row>
    <row r="466" spans="8:21" x14ac:dyDescent="0.35">
      <c r="H466" s="7" t="str">
        <v/>
      </c>
      <c r="J466" t="str">
        <v/>
      </c>
      <c r="K466" t="str">
        <v/>
      </c>
      <c r="M466" t="e">
        <f t="array" ref="M466">VLOOKUP(L466,books!B463,1,0)</f>
        <v>#N/A</v>
      </c>
      <c r="N466">
        <f>COUNTA(books!C465:'books'!ZZ465)</f>
        <v>0</v>
      </c>
      <c r="O466" t="e">
        <f t="array" ref="O466">AVERAGE(rating!C465:'rating'!ZZ465)</f>
        <v>#DIV/0!</v>
      </c>
      <c r="P466">
        <f>SUM(COUNTIF(rating!C465:ZZ465, 10))</f>
        <v>0</v>
      </c>
      <c r="R466">
        <f>COUNTA(year!C465:ZZ465)</f>
        <v>0</v>
      </c>
      <c r="S466">
        <f>COUNTA(books!C465:ZZ465)</f>
        <v>0</v>
      </c>
      <c r="T466">
        <f>COUNTA(rating!C465:ZZ465)</f>
        <v>0</v>
      </c>
      <c r="U466">
        <f t="shared" si="7"/>
        <v>0</v>
      </c>
    </row>
    <row r="467" spans="8:21" x14ac:dyDescent="0.35">
      <c r="H467" s="7" t="str">
        <v/>
      </c>
      <c r="J467" t="str">
        <v/>
      </c>
      <c r="K467" t="str">
        <v/>
      </c>
      <c r="M467" t="e">
        <f t="array" ref="M467">VLOOKUP(L467,books!B464,1,0)</f>
        <v>#N/A</v>
      </c>
      <c r="N467">
        <f>COUNTA(books!C466:'books'!ZZ466)</f>
        <v>0</v>
      </c>
      <c r="O467" t="e">
        <f t="array" ref="O467">AVERAGE(rating!C466:'rating'!ZZ466)</f>
        <v>#DIV/0!</v>
      </c>
      <c r="P467">
        <f>SUM(COUNTIF(rating!C466:ZZ466, 10))</f>
        <v>0</v>
      </c>
      <c r="R467">
        <f>COUNTA(year!C466:ZZ466)</f>
        <v>0</v>
      </c>
      <c r="S467">
        <f>COUNTA(books!C466:ZZ466)</f>
        <v>0</v>
      </c>
      <c r="T467">
        <f>COUNTA(rating!C466:ZZ466)</f>
        <v>0</v>
      </c>
      <c r="U467">
        <f t="shared" si="7"/>
        <v>0</v>
      </c>
    </row>
    <row r="468" spans="8:21" x14ac:dyDescent="0.35">
      <c r="H468" s="7" t="str">
        <v/>
      </c>
      <c r="J468" t="str">
        <v/>
      </c>
      <c r="K468" t="str">
        <v/>
      </c>
      <c r="M468" t="e">
        <f t="array" ref="M468">VLOOKUP(L468,books!B465,1,0)</f>
        <v>#N/A</v>
      </c>
      <c r="N468">
        <f>COUNTA(books!C467:'books'!ZZ467)</f>
        <v>0</v>
      </c>
      <c r="O468" t="e">
        <f t="array" ref="O468">AVERAGE(rating!C467:'rating'!ZZ467)</f>
        <v>#DIV/0!</v>
      </c>
      <c r="P468">
        <f>SUM(COUNTIF(rating!C467:ZZ467, 10))</f>
        <v>0</v>
      </c>
      <c r="R468">
        <f>COUNTA(year!C467:ZZ467)</f>
        <v>0</v>
      </c>
      <c r="S468">
        <f>COUNTA(books!C467:ZZ467)</f>
        <v>0</v>
      </c>
      <c r="T468">
        <f>COUNTA(rating!C467:ZZ467)</f>
        <v>0</v>
      </c>
      <c r="U468">
        <f t="shared" si="7"/>
        <v>0</v>
      </c>
    </row>
    <row r="469" spans="8:21" x14ac:dyDescent="0.35">
      <c r="H469" s="7" t="str">
        <v/>
      </c>
      <c r="J469" t="str">
        <v/>
      </c>
      <c r="K469" t="str">
        <v/>
      </c>
      <c r="M469" t="e">
        <f t="array" ref="M469">VLOOKUP(L469,books!B466,1,0)</f>
        <v>#N/A</v>
      </c>
      <c r="N469">
        <f>COUNTA(books!C468:'books'!ZZ468)</f>
        <v>0</v>
      </c>
      <c r="O469" t="e">
        <f t="array" ref="O469">AVERAGE(rating!C468:'rating'!ZZ468)</f>
        <v>#DIV/0!</v>
      </c>
      <c r="P469">
        <f>SUM(COUNTIF(rating!C468:ZZ468, 10))</f>
        <v>0</v>
      </c>
      <c r="R469">
        <f>COUNTA(year!C468:ZZ468)</f>
        <v>0</v>
      </c>
      <c r="S469">
        <f>COUNTA(books!C468:ZZ468)</f>
        <v>0</v>
      </c>
      <c r="T469">
        <f>COUNTA(rating!C468:ZZ468)</f>
        <v>0</v>
      </c>
      <c r="U469">
        <f t="shared" si="7"/>
        <v>0</v>
      </c>
    </row>
    <row r="470" spans="8:21" x14ac:dyDescent="0.35">
      <c r="H470" s="7" t="str">
        <v/>
      </c>
      <c r="J470" t="str">
        <v/>
      </c>
      <c r="K470" t="str">
        <v/>
      </c>
      <c r="M470" t="e">
        <f t="array" ref="M470">VLOOKUP(L470,books!B467,1,0)</f>
        <v>#N/A</v>
      </c>
      <c r="N470">
        <f>COUNTA(books!C469:'books'!ZZ469)</f>
        <v>0</v>
      </c>
      <c r="O470" t="e">
        <f t="array" ref="O470">AVERAGE(rating!C469:'rating'!ZZ469)</f>
        <v>#DIV/0!</v>
      </c>
      <c r="P470">
        <f>SUM(COUNTIF(rating!C469:ZZ469, 10))</f>
        <v>0</v>
      </c>
      <c r="R470">
        <f>COUNTA(year!C469:ZZ469)</f>
        <v>0</v>
      </c>
      <c r="S470">
        <f>COUNTA(books!C469:ZZ469)</f>
        <v>0</v>
      </c>
      <c r="T470">
        <f>COUNTA(rating!C469:ZZ469)</f>
        <v>0</v>
      </c>
      <c r="U470">
        <f t="shared" si="7"/>
        <v>0</v>
      </c>
    </row>
    <row r="471" spans="8:21" x14ac:dyDescent="0.35">
      <c r="H471" s="7" t="str">
        <v/>
      </c>
      <c r="J471" t="str">
        <v/>
      </c>
      <c r="K471" t="str">
        <v/>
      </c>
      <c r="M471" t="e">
        <f t="array" ref="M471">VLOOKUP(L471,books!B468,1,0)</f>
        <v>#N/A</v>
      </c>
      <c r="N471">
        <f>COUNTA(books!C470:'books'!ZZ470)</f>
        <v>0</v>
      </c>
      <c r="O471" t="e">
        <f t="array" ref="O471">AVERAGE(rating!C470:'rating'!ZZ470)</f>
        <v>#DIV/0!</v>
      </c>
      <c r="P471">
        <f>SUM(COUNTIF(rating!C470:ZZ470, 10))</f>
        <v>0</v>
      </c>
      <c r="R471">
        <f>COUNTA(year!C470:ZZ470)</f>
        <v>0</v>
      </c>
      <c r="S471">
        <f>COUNTA(books!C470:ZZ470)</f>
        <v>0</v>
      </c>
      <c r="T471">
        <f>COUNTA(rating!C470:ZZ470)</f>
        <v>0</v>
      </c>
      <c r="U471">
        <f t="shared" si="7"/>
        <v>0</v>
      </c>
    </row>
    <row r="472" spans="8:21" x14ac:dyDescent="0.35">
      <c r="H472" s="7" t="str">
        <v/>
      </c>
      <c r="J472" t="str">
        <v/>
      </c>
      <c r="K472" t="str">
        <v/>
      </c>
      <c r="M472" t="e">
        <f t="array" ref="M472">VLOOKUP(L472,books!B469,1,0)</f>
        <v>#N/A</v>
      </c>
      <c r="N472">
        <f>COUNTA(books!C471:'books'!ZZ471)</f>
        <v>0</v>
      </c>
      <c r="O472" t="e">
        <f t="array" ref="O472">AVERAGE(rating!C471:'rating'!ZZ471)</f>
        <v>#DIV/0!</v>
      </c>
      <c r="P472">
        <f>SUM(COUNTIF(rating!C471:ZZ471, 10))</f>
        <v>0</v>
      </c>
      <c r="R472">
        <f>COUNTA(year!C471:ZZ471)</f>
        <v>0</v>
      </c>
      <c r="S472">
        <f>COUNTA(books!C471:ZZ471)</f>
        <v>0</v>
      </c>
      <c r="T472">
        <f>COUNTA(rating!C471:ZZ471)</f>
        <v>0</v>
      </c>
      <c r="U472">
        <f t="shared" si="7"/>
        <v>0</v>
      </c>
    </row>
    <row r="473" spans="8:21" x14ac:dyDescent="0.35">
      <c r="H473" s="7" t="str">
        <v/>
      </c>
      <c r="J473" t="str">
        <v/>
      </c>
      <c r="K473" t="str">
        <v/>
      </c>
      <c r="M473" t="e">
        <f t="array" ref="M473">VLOOKUP(L473,books!B470,1,0)</f>
        <v>#N/A</v>
      </c>
      <c r="N473">
        <f>COUNTA(books!C472:'books'!ZZ472)</f>
        <v>0</v>
      </c>
      <c r="O473" t="e">
        <f t="array" ref="O473">AVERAGE(rating!C472:'rating'!ZZ472)</f>
        <v>#DIV/0!</v>
      </c>
      <c r="P473">
        <f>SUM(COUNTIF(rating!C472:ZZ472, 10))</f>
        <v>0</v>
      </c>
      <c r="R473">
        <f>COUNTA(year!C472:ZZ472)</f>
        <v>0</v>
      </c>
      <c r="S473">
        <f>COUNTA(books!C472:ZZ472)</f>
        <v>0</v>
      </c>
      <c r="T473">
        <f>COUNTA(rating!C472:ZZ472)</f>
        <v>0</v>
      </c>
      <c r="U473">
        <f t="shared" si="7"/>
        <v>0</v>
      </c>
    </row>
    <row r="474" spans="8:21" x14ac:dyDescent="0.35">
      <c r="H474" s="7" t="str">
        <v/>
      </c>
      <c r="J474" t="str">
        <v/>
      </c>
      <c r="K474" t="str">
        <v/>
      </c>
      <c r="M474" t="e">
        <f t="array" ref="M474">VLOOKUP(L474,books!B471,1,0)</f>
        <v>#N/A</v>
      </c>
      <c r="N474">
        <f>COUNTA(books!C473:'books'!ZZ473)</f>
        <v>0</v>
      </c>
      <c r="O474" t="e">
        <f t="array" ref="O474">AVERAGE(rating!C473:'rating'!ZZ473)</f>
        <v>#DIV/0!</v>
      </c>
      <c r="P474">
        <f>SUM(COUNTIF(rating!C473:ZZ473, 10))</f>
        <v>0</v>
      </c>
      <c r="R474">
        <f>COUNTA(year!C473:ZZ473)</f>
        <v>0</v>
      </c>
      <c r="S474">
        <f>COUNTA(books!C473:ZZ473)</f>
        <v>0</v>
      </c>
      <c r="T474">
        <f>COUNTA(rating!C473:ZZ473)</f>
        <v>0</v>
      </c>
      <c r="U474">
        <f t="shared" si="7"/>
        <v>0</v>
      </c>
    </row>
    <row r="475" spans="8:21" x14ac:dyDescent="0.35">
      <c r="H475" s="7" t="str">
        <v/>
      </c>
      <c r="J475" t="str">
        <v/>
      </c>
      <c r="K475" t="str">
        <v/>
      </c>
      <c r="M475" t="e">
        <f t="array" ref="M475">VLOOKUP(L475,books!B472,1,0)</f>
        <v>#N/A</v>
      </c>
      <c r="N475">
        <f>COUNTA(books!C474:'books'!ZZ474)</f>
        <v>0</v>
      </c>
      <c r="O475" t="e">
        <f t="array" ref="O475">AVERAGE(rating!C474:'rating'!ZZ474)</f>
        <v>#DIV/0!</v>
      </c>
      <c r="P475">
        <f>SUM(COUNTIF(rating!C474:ZZ474, 10))</f>
        <v>0</v>
      </c>
      <c r="R475">
        <f>COUNTA(year!C474:ZZ474)</f>
        <v>0</v>
      </c>
      <c r="S475">
        <f>COUNTA(books!C474:ZZ474)</f>
        <v>0</v>
      </c>
      <c r="T475">
        <f>COUNTA(rating!C474:ZZ474)</f>
        <v>0</v>
      </c>
      <c r="U475">
        <f t="shared" si="7"/>
        <v>0</v>
      </c>
    </row>
    <row r="476" spans="8:21" x14ac:dyDescent="0.35">
      <c r="H476" s="7" t="str">
        <v/>
      </c>
      <c r="J476" t="str">
        <v/>
      </c>
      <c r="K476" t="str">
        <v/>
      </c>
      <c r="M476" t="e">
        <f t="array" ref="M476">VLOOKUP(L476,books!B473,1,0)</f>
        <v>#N/A</v>
      </c>
      <c r="N476">
        <f>COUNTA(books!C475:'books'!ZZ475)</f>
        <v>0</v>
      </c>
      <c r="O476" t="e">
        <f t="array" ref="O476">AVERAGE(rating!C475:'rating'!ZZ475)</f>
        <v>#DIV/0!</v>
      </c>
      <c r="P476">
        <f>SUM(COUNTIF(rating!C475:ZZ475, 10))</f>
        <v>0</v>
      </c>
      <c r="R476">
        <f>COUNTA(year!C475:ZZ475)</f>
        <v>0</v>
      </c>
      <c r="S476">
        <f>COUNTA(books!C475:ZZ475)</f>
        <v>0</v>
      </c>
      <c r="T476">
        <f>COUNTA(rating!C475:ZZ475)</f>
        <v>0</v>
      </c>
      <c r="U476">
        <f t="shared" si="7"/>
        <v>0</v>
      </c>
    </row>
    <row r="477" spans="8:21" x14ac:dyDescent="0.35">
      <c r="H477" s="7" t="str">
        <v/>
      </c>
      <c r="J477" t="str">
        <v/>
      </c>
      <c r="K477" t="str">
        <v/>
      </c>
      <c r="M477" t="e">
        <f t="array" ref="M477">VLOOKUP(L477,books!B474,1,0)</f>
        <v>#N/A</v>
      </c>
      <c r="N477">
        <f>COUNTA(books!C476:'books'!ZZ476)</f>
        <v>0</v>
      </c>
      <c r="O477" t="e">
        <f t="array" ref="O477">AVERAGE(rating!C476:'rating'!ZZ476)</f>
        <v>#DIV/0!</v>
      </c>
      <c r="P477">
        <f>SUM(COUNTIF(rating!C476:ZZ476, 10))</f>
        <v>0</v>
      </c>
      <c r="R477">
        <f>COUNTA(year!C476:ZZ476)</f>
        <v>0</v>
      </c>
      <c r="S477">
        <f>COUNTA(books!C476:ZZ476)</f>
        <v>0</v>
      </c>
      <c r="T477">
        <f>COUNTA(rating!C476:ZZ476)</f>
        <v>0</v>
      </c>
      <c r="U477">
        <f t="shared" si="7"/>
        <v>0</v>
      </c>
    </row>
    <row r="478" spans="8:21" x14ac:dyDescent="0.35">
      <c r="H478" s="7" t="str">
        <v/>
      </c>
      <c r="J478" t="str">
        <v/>
      </c>
      <c r="K478" t="str">
        <v/>
      </c>
      <c r="M478" t="e">
        <f t="array" ref="M478">VLOOKUP(L478,books!B475,1,0)</f>
        <v>#N/A</v>
      </c>
      <c r="N478">
        <f>COUNTA(books!C477:'books'!ZZ477)</f>
        <v>0</v>
      </c>
      <c r="O478" t="e">
        <f t="array" ref="O478">AVERAGE(rating!C477:'rating'!ZZ477)</f>
        <v>#DIV/0!</v>
      </c>
      <c r="P478">
        <f>SUM(COUNTIF(rating!C477:ZZ477, 10))</f>
        <v>0</v>
      </c>
      <c r="R478">
        <f>COUNTA(year!C477:ZZ477)</f>
        <v>0</v>
      </c>
      <c r="S478">
        <f>COUNTA(books!C477:ZZ477)</f>
        <v>0</v>
      </c>
      <c r="T478">
        <f>COUNTA(rating!C477:ZZ477)</f>
        <v>0</v>
      </c>
      <c r="U478">
        <f t="shared" si="7"/>
        <v>0</v>
      </c>
    </row>
    <row r="479" spans="8:21" x14ac:dyDescent="0.35">
      <c r="H479" s="7" t="str">
        <v/>
      </c>
      <c r="J479" t="str">
        <v/>
      </c>
      <c r="K479" t="str">
        <v/>
      </c>
      <c r="M479" t="e">
        <f t="array" ref="M479">VLOOKUP(L479,books!B476,1,0)</f>
        <v>#N/A</v>
      </c>
      <c r="N479">
        <f>COUNTA(books!C478:'books'!ZZ478)</f>
        <v>0</v>
      </c>
      <c r="O479" t="e">
        <f t="array" ref="O479">AVERAGE(rating!C478:'rating'!ZZ478)</f>
        <v>#DIV/0!</v>
      </c>
      <c r="P479">
        <f>SUM(COUNTIF(rating!C478:ZZ478, 10))</f>
        <v>0</v>
      </c>
      <c r="R479">
        <f>COUNTA(year!C478:ZZ478)</f>
        <v>0</v>
      </c>
      <c r="S479">
        <f>COUNTA(books!C478:ZZ478)</f>
        <v>0</v>
      </c>
      <c r="T479">
        <f>COUNTA(rating!C478:ZZ478)</f>
        <v>0</v>
      </c>
      <c r="U479">
        <f t="shared" si="7"/>
        <v>0</v>
      </c>
    </row>
    <row r="480" spans="8:21" x14ac:dyDescent="0.35">
      <c r="H480" s="7" t="str">
        <v/>
      </c>
      <c r="J480" t="str">
        <v/>
      </c>
      <c r="K480" t="str">
        <v/>
      </c>
      <c r="M480" t="e">
        <f t="array" ref="M480">VLOOKUP(L480,books!B477,1,0)</f>
        <v>#N/A</v>
      </c>
      <c r="N480">
        <f>COUNTA(books!C479:'books'!ZZ479)</f>
        <v>0</v>
      </c>
      <c r="O480" t="e">
        <f t="array" ref="O480">AVERAGE(rating!C479:'rating'!ZZ479)</f>
        <v>#DIV/0!</v>
      </c>
      <c r="P480">
        <f>SUM(COUNTIF(rating!C479:ZZ479, 10))</f>
        <v>0</v>
      </c>
      <c r="R480">
        <f>COUNTA(year!C479:ZZ479)</f>
        <v>0</v>
      </c>
      <c r="S480">
        <f>COUNTA(books!C479:ZZ479)</f>
        <v>0</v>
      </c>
      <c r="T480">
        <f>COUNTA(rating!C479:ZZ479)</f>
        <v>0</v>
      </c>
      <c r="U480">
        <f t="shared" si="7"/>
        <v>0</v>
      </c>
    </row>
    <row r="481" spans="8:21" x14ac:dyDescent="0.35">
      <c r="H481" s="7" t="str">
        <v/>
      </c>
      <c r="J481" t="str">
        <v/>
      </c>
      <c r="K481" t="str">
        <v/>
      </c>
      <c r="M481" t="e">
        <f t="array" ref="M481">VLOOKUP(L481,books!B478,1,0)</f>
        <v>#N/A</v>
      </c>
      <c r="N481">
        <f>COUNTA(books!C480:'books'!ZZ480)</f>
        <v>0</v>
      </c>
      <c r="O481" t="e">
        <f t="array" ref="O481">AVERAGE(rating!C480:'rating'!ZZ480)</f>
        <v>#DIV/0!</v>
      </c>
      <c r="P481">
        <f>SUM(COUNTIF(rating!C480:ZZ480, 10))</f>
        <v>0</v>
      </c>
      <c r="R481">
        <f>COUNTA(year!C480:ZZ480)</f>
        <v>0</v>
      </c>
      <c r="S481">
        <f>COUNTA(books!C480:ZZ480)</f>
        <v>0</v>
      </c>
      <c r="T481">
        <f>COUNTA(rating!C480:ZZ480)</f>
        <v>0</v>
      </c>
      <c r="U481">
        <f t="shared" si="7"/>
        <v>0</v>
      </c>
    </row>
    <row r="482" spans="8:21" x14ac:dyDescent="0.35">
      <c r="H482" s="7" t="str">
        <v/>
      </c>
      <c r="J482" t="str">
        <v/>
      </c>
      <c r="K482" t="str">
        <v/>
      </c>
      <c r="M482" t="e">
        <f t="array" ref="M482">VLOOKUP(L482,books!B479,1,0)</f>
        <v>#N/A</v>
      </c>
      <c r="N482">
        <f>COUNTA(books!C481:'books'!ZZ481)</f>
        <v>0</v>
      </c>
      <c r="O482" t="e">
        <f t="array" ref="O482">AVERAGE(rating!C481:'rating'!ZZ481)</f>
        <v>#DIV/0!</v>
      </c>
      <c r="P482">
        <f>SUM(COUNTIF(rating!C481:ZZ481, 10))</f>
        <v>0</v>
      </c>
      <c r="R482">
        <f>COUNTA(year!C481:ZZ481)</f>
        <v>0</v>
      </c>
      <c r="S482">
        <f>COUNTA(books!C481:ZZ481)</f>
        <v>0</v>
      </c>
      <c r="T482">
        <f>COUNTA(rating!C481:ZZ481)</f>
        <v>0</v>
      </c>
      <c r="U482">
        <f t="shared" si="7"/>
        <v>0</v>
      </c>
    </row>
    <row r="483" spans="8:21" x14ac:dyDescent="0.35">
      <c r="H483" s="7" t="str">
        <v/>
      </c>
      <c r="J483" t="str">
        <v/>
      </c>
      <c r="K483" t="str">
        <v/>
      </c>
      <c r="M483" t="e">
        <f t="array" ref="M483">VLOOKUP(L483,books!B480,1,0)</f>
        <v>#N/A</v>
      </c>
      <c r="N483">
        <f>COUNTA(books!C482:'books'!ZZ482)</f>
        <v>0</v>
      </c>
      <c r="O483" t="e">
        <f t="array" ref="O483">AVERAGE(rating!C482:'rating'!ZZ482)</f>
        <v>#DIV/0!</v>
      </c>
      <c r="P483">
        <f>SUM(COUNTIF(rating!C482:ZZ482, 10))</f>
        <v>0</v>
      </c>
      <c r="R483">
        <f>COUNTA(year!C482:ZZ482)</f>
        <v>0</v>
      </c>
      <c r="S483">
        <f>COUNTA(books!C482:ZZ482)</f>
        <v>0</v>
      </c>
      <c r="T483">
        <f>COUNTA(rating!C482:ZZ482)</f>
        <v>0</v>
      </c>
      <c r="U483">
        <f t="shared" si="7"/>
        <v>0</v>
      </c>
    </row>
    <row r="484" spans="8:21" x14ac:dyDescent="0.35">
      <c r="H484" s="7" t="str">
        <v/>
      </c>
      <c r="J484" t="str">
        <v/>
      </c>
      <c r="K484" t="str">
        <v/>
      </c>
      <c r="M484" t="e">
        <f t="array" ref="M484">VLOOKUP(L484,books!B481,1,0)</f>
        <v>#N/A</v>
      </c>
      <c r="N484">
        <f>COUNTA(books!C483:'books'!ZZ483)</f>
        <v>0</v>
      </c>
      <c r="O484" t="e">
        <f t="array" ref="O484">AVERAGE(rating!C483:'rating'!ZZ483)</f>
        <v>#DIV/0!</v>
      </c>
      <c r="P484">
        <f>SUM(COUNTIF(rating!C483:ZZ483, 10))</f>
        <v>0</v>
      </c>
      <c r="R484">
        <f>COUNTA(year!C483:ZZ483)</f>
        <v>0</v>
      </c>
      <c r="S484">
        <f>COUNTA(books!C483:ZZ483)</f>
        <v>0</v>
      </c>
      <c r="T484">
        <f>COUNTA(rating!C483:ZZ483)</f>
        <v>0</v>
      </c>
      <c r="U484">
        <f t="shared" si="7"/>
        <v>0</v>
      </c>
    </row>
    <row r="485" spans="8:21" x14ac:dyDescent="0.35">
      <c r="H485" s="7" t="str">
        <v/>
      </c>
      <c r="J485" t="str">
        <v/>
      </c>
      <c r="K485" t="str">
        <v/>
      </c>
      <c r="M485" t="e">
        <f t="array" ref="M485">VLOOKUP(L485,books!B482,1,0)</f>
        <v>#N/A</v>
      </c>
      <c r="N485">
        <f>COUNTA(books!C484:'books'!ZZ484)</f>
        <v>0</v>
      </c>
      <c r="O485" t="e">
        <f t="array" ref="O485">AVERAGE(rating!C484:'rating'!ZZ484)</f>
        <v>#DIV/0!</v>
      </c>
      <c r="P485">
        <f>SUM(COUNTIF(rating!C484:ZZ484, 10))</f>
        <v>0</v>
      </c>
      <c r="R485">
        <f>COUNTA(year!C484:ZZ484)</f>
        <v>0</v>
      </c>
      <c r="S485">
        <f>COUNTA(books!C484:ZZ484)</f>
        <v>0</v>
      </c>
      <c r="T485">
        <f>COUNTA(rating!C484:ZZ484)</f>
        <v>0</v>
      </c>
      <c r="U485">
        <f t="shared" si="7"/>
        <v>0</v>
      </c>
    </row>
    <row r="486" spans="8:21" x14ac:dyDescent="0.35">
      <c r="H486" s="7" t="str">
        <v/>
      </c>
      <c r="J486" t="str">
        <v/>
      </c>
      <c r="K486" t="str">
        <v/>
      </c>
      <c r="M486" t="e">
        <f t="array" ref="M486">VLOOKUP(L486,books!B483,1,0)</f>
        <v>#N/A</v>
      </c>
      <c r="N486">
        <f>COUNTA(books!C485:'books'!ZZ485)</f>
        <v>0</v>
      </c>
      <c r="O486" t="e">
        <f t="array" ref="O486">AVERAGE(rating!C485:'rating'!ZZ485)</f>
        <v>#DIV/0!</v>
      </c>
      <c r="P486">
        <f>SUM(COUNTIF(rating!C485:ZZ485, 10))</f>
        <v>0</v>
      </c>
      <c r="R486">
        <f>COUNTA(year!C485:ZZ485)</f>
        <v>0</v>
      </c>
      <c r="S486">
        <f>COUNTA(books!C485:ZZ485)</f>
        <v>0</v>
      </c>
      <c r="T486">
        <f>COUNTA(rating!C485:ZZ485)</f>
        <v>0</v>
      </c>
      <c r="U486">
        <f t="shared" si="7"/>
        <v>0</v>
      </c>
    </row>
    <row r="487" spans="8:21" x14ac:dyDescent="0.35">
      <c r="H487" s="7" t="str">
        <v/>
      </c>
      <c r="J487" t="str">
        <v/>
      </c>
      <c r="K487" t="str">
        <v/>
      </c>
      <c r="M487" t="e">
        <f t="array" ref="M487">VLOOKUP(L487,books!B484,1,0)</f>
        <v>#N/A</v>
      </c>
      <c r="N487">
        <f>COUNTA(books!C486:'books'!ZZ486)</f>
        <v>0</v>
      </c>
      <c r="O487" t="e">
        <f t="array" ref="O487">AVERAGE(rating!C486:'rating'!ZZ486)</f>
        <v>#DIV/0!</v>
      </c>
      <c r="P487">
        <f>SUM(COUNTIF(rating!C486:ZZ486, 10))</f>
        <v>0</v>
      </c>
      <c r="R487">
        <f>COUNTA(year!C486:ZZ486)</f>
        <v>0</v>
      </c>
      <c r="S487">
        <f>COUNTA(books!C486:ZZ486)</f>
        <v>0</v>
      </c>
      <c r="T487">
        <f>COUNTA(rating!C486:ZZ486)</f>
        <v>0</v>
      </c>
      <c r="U487">
        <f t="shared" si="7"/>
        <v>0</v>
      </c>
    </row>
    <row r="488" spans="8:21" x14ac:dyDescent="0.35">
      <c r="H488" s="7" t="str">
        <v/>
      </c>
      <c r="J488" t="str">
        <v/>
      </c>
      <c r="K488" t="str">
        <v/>
      </c>
      <c r="M488" t="e">
        <f t="array" ref="M488">VLOOKUP(L488,books!B485,1,0)</f>
        <v>#N/A</v>
      </c>
      <c r="N488">
        <f>COUNTA(books!C487:'books'!ZZ487)</f>
        <v>0</v>
      </c>
      <c r="O488" t="e">
        <f t="array" ref="O488">AVERAGE(rating!C487:'rating'!ZZ487)</f>
        <v>#DIV/0!</v>
      </c>
      <c r="P488">
        <f>SUM(COUNTIF(rating!C487:ZZ487, 10))</f>
        <v>0</v>
      </c>
      <c r="R488">
        <f>COUNTA(year!C487:ZZ487)</f>
        <v>0</v>
      </c>
      <c r="S488">
        <f>COUNTA(books!C487:ZZ487)</f>
        <v>0</v>
      </c>
      <c r="T488">
        <f>COUNTA(rating!C487:ZZ487)</f>
        <v>0</v>
      </c>
      <c r="U488">
        <f t="shared" si="7"/>
        <v>0</v>
      </c>
    </row>
    <row r="489" spans="8:21" x14ac:dyDescent="0.35">
      <c r="H489" s="7" t="str">
        <v/>
      </c>
      <c r="J489" t="str">
        <v/>
      </c>
      <c r="K489" t="str">
        <v/>
      </c>
      <c r="M489" t="e">
        <f t="array" ref="M489">VLOOKUP(L489,books!B486,1,0)</f>
        <v>#N/A</v>
      </c>
      <c r="N489">
        <f>COUNTA(books!C488:'books'!ZZ488)</f>
        <v>0</v>
      </c>
      <c r="O489" t="e">
        <f t="array" ref="O489">AVERAGE(rating!C488:'rating'!ZZ488)</f>
        <v>#DIV/0!</v>
      </c>
      <c r="P489">
        <f>SUM(COUNTIF(rating!C488:ZZ488, 10))</f>
        <v>0</v>
      </c>
      <c r="R489">
        <f>COUNTA(year!C488:ZZ488)</f>
        <v>0</v>
      </c>
      <c r="S489">
        <f>COUNTA(books!C488:ZZ488)</f>
        <v>0</v>
      </c>
      <c r="T489">
        <f>COUNTA(rating!C488:ZZ488)</f>
        <v>0</v>
      </c>
      <c r="U489">
        <f t="shared" si="7"/>
        <v>0</v>
      </c>
    </row>
    <row r="490" spans="8:21" x14ac:dyDescent="0.35">
      <c r="H490" s="7" t="str">
        <v/>
      </c>
      <c r="J490" t="str">
        <v/>
      </c>
      <c r="K490" t="str">
        <v/>
      </c>
      <c r="M490" t="e">
        <f t="array" ref="M490">VLOOKUP(L490,books!B487,1,0)</f>
        <v>#N/A</v>
      </c>
      <c r="N490">
        <f>COUNTA(books!C489:'books'!ZZ489)</f>
        <v>0</v>
      </c>
      <c r="O490" t="e">
        <f t="array" ref="O490">AVERAGE(rating!C489:'rating'!ZZ489)</f>
        <v>#DIV/0!</v>
      </c>
      <c r="P490">
        <f>SUM(COUNTIF(rating!C489:ZZ489, 10))</f>
        <v>0</v>
      </c>
      <c r="R490">
        <f>COUNTA(year!C489:ZZ489)</f>
        <v>0</v>
      </c>
      <c r="S490">
        <f>COUNTA(books!C489:ZZ489)</f>
        <v>0</v>
      </c>
      <c r="T490">
        <f>COUNTA(rating!C489:ZZ489)</f>
        <v>0</v>
      </c>
      <c r="U490">
        <f t="shared" si="7"/>
        <v>0</v>
      </c>
    </row>
    <row r="491" spans="8:21" x14ac:dyDescent="0.35">
      <c r="H491" s="7" t="str">
        <v/>
      </c>
      <c r="J491" t="str">
        <v/>
      </c>
      <c r="K491" t="str">
        <v/>
      </c>
      <c r="M491" t="e">
        <f t="array" ref="M491">VLOOKUP(L491,books!B488,1,0)</f>
        <v>#N/A</v>
      </c>
      <c r="N491">
        <f>COUNTA(books!C490:'books'!ZZ490)</f>
        <v>0</v>
      </c>
      <c r="O491" t="e">
        <f t="array" ref="O491">AVERAGE(rating!C490:'rating'!ZZ490)</f>
        <v>#DIV/0!</v>
      </c>
      <c r="P491">
        <f>SUM(COUNTIF(rating!C490:ZZ490, 10))</f>
        <v>0</v>
      </c>
      <c r="R491">
        <f>COUNTA(year!C490:ZZ490)</f>
        <v>0</v>
      </c>
      <c r="S491">
        <f>COUNTA(books!C490:ZZ490)</f>
        <v>0</v>
      </c>
      <c r="T491">
        <f>COUNTA(rating!C490:ZZ490)</f>
        <v>0</v>
      </c>
      <c r="U491">
        <f t="shared" si="7"/>
        <v>0</v>
      </c>
    </row>
    <row r="492" spans="8:21" x14ac:dyDescent="0.35">
      <c r="H492" s="7" t="str">
        <v/>
      </c>
      <c r="J492" t="str">
        <v/>
      </c>
      <c r="K492" t="str">
        <v/>
      </c>
      <c r="M492" t="e">
        <f t="array" ref="M492">VLOOKUP(L492,books!B489,1,0)</f>
        <v>#N/A</v>
      </c>
      <c r="N492">
        <f>COUNTA(books!C491:'books'!ZZ491)</f>
        <v>0</v>
      </c>
      <c r="O492" t="e">
        <f t="array" ref="O492">AVERAGE(rating!C491:'rating'!ZZ491)</f>
        <v>#DIV/0!</v>
      </c>
      <c r="P492">
        <f>SUM(COUNTIF(rating!C491:ZZ491, 10))</f>
        <v>0</v>
      </c>
      <c r="R492">
        <f>COUNTA(year!C491:ZZ491)</f>
        <v>0</v>
      </c>
      <c r="S492">
        <f>COUNTA(books!C491:ZZ491)</f>
        <v>0</v>
      </c>
      <c r="T492">
        <f>COUNTA(rating!C491:ZZ491)</f>
        <v>0</v>
      </c>
      <c r="U492">
        <f t="shared" si="7"/>
        <v>0</v>
      </c>
    </row>
    <row r="493" spans="8:21" x14ac:dyDescent="0.35">
      <c r="H493" s="7" t="str">
        <v/>
      </c>
      <c r="J493" t="str">
        <v/>
      </c>
      <c r="K493" t="str">
        <v/>
      </c>
      <c r="M493" t="e">
        <f t="array" ref="M493">VLOOKUP(L493,books!B490,1,0)</f>
        <v>#N/A</v>
      </c>
      <c r="N493">
        <f>COUNTA(books!C492:'books'!ZZ492)</f>
        <v>0</v>
      </c>
      <c r="O493" t="e">
        <f t="array" ref="O493">AVERAGE(rating!C492:'rating'!ZZ492)</f>
        <v>#DIV/0!</v>
      </c>
      <c r="P493">
        <f>SUM(COUNTIF(rating!C492:ZZ492, 10))</f>
        <v>0</v>
      </c>
      <c r="R493">
        <f>COUNTA(year!C492:ZZ492)</f>
        <v>0</v>
      </c>
      <c r="S493">
        <f>COUNTA(books!C492:ZZ492)</f>
        <v>0</v>
      </c>
      <c r="T493">
        <f>COUNTA(rating!C492:ZZ492)</f>
        <v>0</v>
      </c>
      <c r="U493">
        <f t="shared" si="7"/>
        <v>0</v>
      </c>
    </row>
    <row r="494" spans="8:21" x14ac:dyDescent="0.35">
      <c r="H494" s="7" t="str">
        <v/>
      </c>
      <c r="J494" t="str">
        <v/>
      </c>
      <c r="K494" t="str">
        <v/>
      </c>
      <c r="M494" t="e">
        <f t="array" ref="M494">VLOOKUP(L494,books!B491,1,0)</f>
        <v>#N/A</v>
      </c>
      <c r="N494">
        <f>COUNTA(books!C493:'books'!ZZ493)</f>
        <v>0</v>
      </c>
      <c r="O494" t="e">
        <f t="array" ref="O494">AVERAGE(rating!C493:'rating'!ZZ493)</f>
        <v>#DIV/0!</v>
      </c>
      <c r="P494">
        <f>SUM(COUNTIF(rating!C493:ZZ493, 10))</f>
        <v>0</v>
      </c>
      <c r="R494">
        <f>COUNTA(year!C493:ZZ493)</f>
        <v>0</v>
      </c>
      <c r="S494">
        <f>COUNTA(books!C493:ZZ493)</f>
        <v>0</v>
      </c>
      <c r="T494">
        <f>COUNTA(rating!C493:ZZ493)</f>
        <v>0</v>
      </c>
      <c r="U494">
        <f t="shared" si="7"/>
        <v>0</v>
      </c>
    </row>
    <row r="495" spans="8:21" x14ac:dyDescent="0.35">
      <c r="H495" s="7" t="str">
        <v/>
      </c>
      <c r="J495" t="str">
        <v/>
      </c>
      <c r="K495" t="str">
        <v/>
      </c>
      <c r="M495" t="e">
        <f t="array" ref="M495">VLOOKUP(L495,books!B492,1,0)</f>
        <v>#N/A</v>
      </c>
      <c r="N495">
        <f>COUNTA(books!C494:'books'!ZZ494)</f>
        <v>0</v>
      </c>
      <c r="O495" t="e">
        <f t="array" ref="O495">AVERAGE(rating!C494:'rating'!ZZ494)</f>
        <v>#DIV/0!</v>
      </c>
      <c r="P495">
        <f>SUM(COUNTIF(rating!C494:ZZ494, 10))</f>
        <v>0</v>
      </c>
      <c r="R495">
        <f>COUNTA(year!C494:ZZ494)</f>
        <v>0</v>
      </c>
      <c r="S495">
        <f>COUNTA(books!C494:ZZ494)</f>
        <v>0</v>
      </c>
      <c r="T495">
        <f>COUNTA(rating!C494:ZZ494)</f>
        <v>0</v>
      </c>
      <c r="U495">
        <f t="shared" si="7"/>
        <v>0</v>
      </c>
    </row>
    <row r="496" spans="8:21" x14ac:dyDescent="0.35">
      <c r="H496" s="7" t="str">
        <v/>
      </c>
      <c r="J496" t="str">
        <v/>
      </c>
      <c r="K496" t="str">
        <v/>
      </c>
      <c r="M496" t="e">
        <f t="array" ref="M496">VLOOKUP(L496,books!B493,1,0)</f>
        <v>#N/A</v>
      </c>
      <c r="N496">
        <f>COUNTA(books!C495:'books'!ZZ495)</f>
        <v>0</v>
      </c>
      <c r="O496" t="e">
        <f t="array" ref="O496">AVERAGE(rating!C495:'rating'!ZZ495)</f>
        <v>#DIV/0!</v>
      </c>
      <c r="P496">
        <f>SUM(COUNTIF(rating!C495:ZZ495, 10))</f>
        <v>0</v>
      </c>
      <c r="R496">
        <f>COUNTA(year!C495:ZZ495)</f>
        <v>0</v>
      </c>
      <c r="S496">
        <f>COUNTA(books!C495:ZZ495)</f>
        <v>0</v>
      </c>
      <c r="T496">
        <f>COUNTA(rating!C495:ZZ495)</f>
        <v>0</v>
      </c>
      <c r="U496">
        <f t="shared" si="7"/>
        <v>0</v>
      </c>
    </row>
    <row r="497" spans="8:21" x14ac:dyDescent="0.35">
      <c r="H497" s="7" t="str">
        <v/>
      </c>
      <c r="J497" t="str">
        <v/>
      </c>
      <c r="K497" t="str">
        <v/>
      </c>
      <c r="M497" t="e">
        <f t="array" ref="M497">VLOOKUP(L497,books!B494,1,0)</f>
        <v>#N/A</v>
      </c>
      <c r="N497">
        <f>COUNTA(books!C496:'books'!ZZ496)</f>
        <v>0</v>
      </c>
      <c r="O497" t="e">
        <f t="array" ref="O497">AVERAGE(rating!C496:'rating'!ZZ496)</f>
        <v>#DIV/0!</v>
      </c>
      <c r="P497">
        <f>SUM(COUNTIF(rating!C496:ZZ496, 10))</f>
        <v>0</v>
      </c>
      <c r="R497">
        <f>COUNTA(year!C496:ZZ496)</f>
        <v>0</v>
      </c>
      <c r="S497">
        <f>COUNTA(books!C496:ZZ496)</f>
        <v>0</v>
      </c>
      <c r="T497">
        <f>COUNTA(rating!C496:ZZ496)</f>
        <v>0</v>
      </c>
      <c r="U497">
        <f t="shared" si="7"/>
        <v>0</v>
      </c>
    </row>
    <row r="498" spans="8:21" x14ac:dyDescent="0.35">
      <c r="H498" s="7" t="str">
        <v/>
      </c>
      <c r="J498" t="str">
        <v/>
      </c>
      <c r="K498" t="str">
        <v/>
      </c>
      <c r="M498" t="e">
        <f t="array" ref="M498">VLOOKUP(L498,books!B495,1,0)</f>
        <v>#N/A</v>
      </c>
      <c r="N498">
        <f>COUNTA(books!C497:'books'!ZZ497)</f>
        <v>0</v>
      </c>
      <c r="O498" t="e">
        <f t="array" ref="O498">AVERAGE(rating!C497:'rating'!ZZ497)</f>
        <v>#DIV/0!</v>
      </c>
      <c r="P498">
        <f>SUM(COUNTIF(rating!C497:ZZ497, 10))</f>
        <v>0</v>
      </c>
      <c r="R498">
        <f>COUNTA(year!C497:ZZ497)</f>
        <v>0</v>
      </c>
      <c r="S498">
        <f>COUNTA(books!C497:ZZ497)</f>
        <v>0</v>
      </c>
      <c r="T498">
        <f>COUNTA(rating!C497:ZZ497)</f>
        <v>0</v>
      </c>
      <c r="U498">
        <f t="shared" si="7"/>
        <v>0</v>
      </c>
    </row>
    <row r="499" spans="8:21" x14ac:dyDescent="0.35">
      <c r="H499" s="7" t="str">
        <v/>
      </c>
      <c r="J499" t="str">
        <v/>
      </c>
      <c r="K499" t="str">
        <v/>
      </c>
      <c r="M499" t="e">
        <f t="array" ref="M499">VLOOKUP(L499,books!B496,1,0)</f>
        <v>#N/A</v>
      </c>
      <c r="N499">
        <f>COUNTA(books!C498:'books'!ZZ498)</f>
        <v>0</v>
      </c>
      <c r="O499" t="e">
        <f t="array" ref="O499">AVERAGE(rating!C498:'rating'!ZZ498)</f>
        <v>#DIV/0!</v>
      </c>
      <c r="P499">
        <f>SUM(COUNTIF(rating!C498:ZZ498, 10))</f>
        <v>0</v>
      </c>
      <c r="R499">
        <f>COUNTA(year!C498:ZZ498)</f>
        <v>0</v>
      </c>
      <c r="S499">
        <f>COUNTA(books!C498:ZZ498)</f>
        <v>0</v>
      </c>
      <c r="T499">
        <f>COUNTA(rating!C498:ZZ498)</f>
        <v>0</v>
      </c>
      <c r="U499">
        <f t="shared" si="7"/>
        <v>0</v>
      </c>
    </row>
    <row r="500" spans="8:21" x14ac:dyDescent="0.35">
      <c r="H500" s="7" t="str">
        <v/>
      </c>
      <c r="J500" t="str">
        <v/>
      </c>
      <c r="K500" t="str">
        <v/>
      </c>
      <c r="M500" t="e">
        <f t="array" ref="M500">VLOOKUP(L500,books!B497,1,0)</f>
        <v>#N/A</v>
      </c>
      <c r="N500">
        <f>COUNTA(books!C499:'books'!ZZ499)</f>
        <v>0</v>
      </c>
      <c r="O500" t="e">
        <f t="array" ref="O500">AVERAGE(rating!C499:'rating'!ZZ499)</f>
        <v>#DIV/0!</v>
      </c>
      <c r="P500">
        <f>SUM(COUNTIF(rating!C499:ZZ499, 10))</f>
        <v>0</v>
      </c>
      <c r="R500">
        <f>COUNTA(year!C499:ZZ499)</f>
        <v>0</v>
      </c>
      <c r="S500">
        <f>COUNTA(books!C499:ZZ499)</f>
        <v>0</v>
      </c>
      <c r="T500">
        <f>COUNTA(rating!C499:ZZ499)</f>
        <v>0</v>
      </c>
      <c r="U500">
        <f t="shared" si="7"/>
        <v>0</v>
      </c>
    </row>
    <row r="501" spans="8:21" x14ac:dyDescent="0.35">
      <c r="H501" s="7" t="str">
        <v/>
      </c>
      <c r="J501" t="str">
        <v/>
      </c>
      <c r="K501" t="str">
        <v/>
      </c>
      <c r="M501" t="e">
        <f t="array" ref="M501">VLOOKUP(L501,books!B498,1,0)</f>
        <v>#N/A</v>
      </c>
      <c r="N501">
        <f>COUNTA(books!C500:'books'!ZZ500)</f>
        <v>0</v>
      </c>
      <c r="O501" t="e">
        <f t="array" ref="O501">AVERAGE(rating!C500:'rating'!ZZ500)</f>
        <v>#DIV/0!</v>
      </c>
      <c r="P501">
        <f>SUM(COUNTIF(rating!C500:ZZ500, 10))</f>
        <v>0</v>
      </c>
      <c r="R501">
        <f>COUNTA(year!C500:ZZ500)</f>
        <v>0</v>
      </c>
      <c r="S501">
        <f>COUNTA(books!C500:ZZ500)</f>
        <v>0</v>
      </c>
      <c r="T501">
        <f>COUNTA(rating!C500:ZZ500)</f>
        <v>0</v>
      </c>
      <c r="U501">
        <f t="shared" si="7"/>
        <v>0</v>
      </c>
    </row>
    <row r="502" spans="8:21" x14ac:dyDescent="0.35">
      <c r="H502" s="7" t="str">
        <v/>
      </c>
      <c r="J502" t="str">
        <v/>
      </c>
      <c r="K502" t="str">
        <v/>
      </c>
      <c r="M502" t="e">
        <f t="array" ref="M502">VLOOKUP(L502,books!B499,1,0)</f>
        <v>#N/A</v>
      </c>
      <c r="N502">
        <f>COUNTA(books!C501:'books'!ZZ501)</f>
        <v>0</v>
      </c>
      <c r="O502" t="e">
        <f t="array" ref="O502">AVERAGE(rating!C501:'rating'!ZZ501)</f>
        <v>#DIV/0!</v>
      </c>
      <c r="P502">
        <f>SUM(COUNTIF(rating!C501:ZZ501, 10))</f>
        <v>0</v>
      </c>
      <c r="R502">
        <f>COUNTA(year!C501:ZZ501)</f>
        <v>0</v>
      </c>
      <c r="S502">
        <f>COUNTA(books!C501:ZZ501)</f>
        <v>0</v>
      </c>
      <c r="T502">
        <f>COUNTA(rating!C501:ZZ501)</f>
        <v>0</v>
      </c>
      <c r="U502">
        <f t="shared" si="7"/>
        <v>0</v>
      </c>
    </row>
    <row r="503" spans="8:21" x14ac:dyDescent="0.35">
      <c r="H503" s="7" t="str">
        <v/>
      </c>
      <c r="J503" t="str">
        <v/>
      </c>
      <c r="K503" t="str">
        <v/>
      </c>
      <c r="M503" t="e">
        <f t="array" ref="M503">VLOOKUP(L503,books!B500,1,0)</f>
        <v>#N/A</v>
      </c>
      <c r="N503">
        <f>COUNTA(books!C502:'books'!ZZ502)</f>
        <v>0</v>
      </c>
      <c r="O503" t="e">
        <f t="array" ref="O503">AVERAGE(rating!C502:'rating'!ZZ502)</f>
        <v>#DIV/0!</v>
      </c>
      <c r="P503">
        <f>SUM(COUNTIF(rating!C502:ZZ502, 10))</f>
        <v>0</v>
      </c>
      <c r="R503">
        <f>COUNTA(year!C502:ZZ502)</f>
        <v>0</v>
      </c>
      <c r="S503">
        <f>COUNTA(books!C502:ZZ502)</f>
        <v>0</v>
      </c>
      <c r="T503">
        <f>COUNTA(rating!C502:ZZ502)</f>
        <v>0</v>
      </c>
      <c r="U503">
        <f t="shared" si="7"/>
        <v>0</v>
      </c>
    </row>
    <row r="504" spans="8:21" x14ac:dyDescent="0.35">
      <c r="H504" s="7" t="str">
        <v/>
      </c>
      <c r="J504" t="str">
        <v/>
      </c>
      <c r="K504" t="str">
        <v/>
      </c>
      <c r="M504" t="e">
        <f t="array" ref="M504">VLOOKUP(L504,books!B501,1,0)</f>
        <v>#N/A</v>
      </c>
      <c r="N504">
        <f>COUNTA(books!C503:'books'!ZZ503)</f>
        <v>0</v>
      </c>
      <c r="O504" t="e">
        <f t="array" ref="O504">AVERAGE(rating!C503:'rating'!ZZ503)</f>
        <v>#DIV/0!</v>
      </c>
      <c r="P504">
        <f>SUM(COUNTIF(rating!C503:ZZ503, 10))</f>
        <v>0</v>
      </c>
      <c r="R504">
        <f>COUNTA(year!C503:ZZ503)</f>
        <v>0</v>
      </c>
      <c r="S504">
        <f>COUNTA(books!C503:ZZ503)</f>
        <v>0</v>
      </c>
      <c r="T504">
        <f>COUNTA(rating!C503:ZZ503)</f>
        <v>0</v>
      </c>
      <c r="U504">
        <f t="shared" si="7"/>
        <v>0</v>
      </c>
    </row>
    <row r="505" spans="8:21" x14ac:dyDescent="0.35">
      <c r="H505" s="7" t="str">
        <v/>
      </c>
      <c r="J505" t="str">
        <v/>
      </c>
      <c r="K505" t="str">
        <v/>
      </c>
      <c r="M505" t="e">
        <f t="array" ref="M505">VLOOKUP(L505,books!B502,1,0)</f>
        <v>#N/A</v>
      </c>
      <c r="N505">
        <f>COUNTA(books!C504:'books'!ZZ504)</f>
        <v>0</v>
      </c>
      <c r="O505" t="e">
        <f t="array" ref="O505">AVERAGE(rating!C504:'rating'!ZZ504)</f>
        <v>#DIV/0!</v>
      </c>
      <c r="P505">
        <f>SUM(COUNTIF(rating!C504:ZZ504, 10))</f>
        <v>0</v>
      </c>
      <c r="R505">
        <f>COUNTA(year!C504:ZZ504)</f>
        <v>0</v>
      </c>
      <c r="S505">
        <f>COUNTA(books!C504:ZZ504)</f>
        <v>0</v>
      </c>
      <c r="T505">
        <f>COUNTA(rating!C504:ZZ504)</f>
        <v>0</v>
      </c>
      <c r="U505">
        <f t="shared" si="7"/>
        <v>0</v>
      </c>
    </row>
    <row r="506" spans="8:21" x14ac:dyDescent="0.35">
      <c r="H506" s="7" t="str">
        <v/>
      </c>
      <c r="J506" t="str">
        <v/>
      </c>
      <c r="K506" t="str">
        <v/>
      </c>
      <c r="M506" t="e">
        <f t="array" ref="M506">VLOOKUP(L506,books!B503,1,0)</f>
        <v>#N/A</v>
      </c>
      <c r="N506">
        <f>COUNTA(books!C505:'books'!ZZ505)</f>
        <v>0</v>
      </c>
      <c r="O506" t="e">
        <f t="array" ref="O506">AVERAGE(rating!C505:'rating'!ZZ505)</f>
        <v>#DIV/0!</v>
      </c>
      <c r="P506">
        <f>SUM(COUNTIF(rating!C505:ZZ505, 10))</f>
        <v>0</v>
      </c>
      <c r="R506">
        <f>COUNTA(year!C505:ZZ505)</f>
        <v>0</v>
      </c>
      <c r="S506">
        <f>COUNTA(books!C505:ZZ505)</f>
        <v>0</v>
      </c>
      <c r="T506">
        <f>COUNTA(rating!C505:ZZ505)</f>
        <v>0</v>
      </c>
      <c r="U506">
        <f t="shared" si="7"/>
        <v>0</v>
      </c>
    </row>
    <row r="507" spans="8:21" x14ac:dyDescent="0.35">
      <c r="H507" s="7" t="str">
        <v/>
      </c>
      <c r="J507" t="str">
        <v/>
      </c>
      <c r="K507" t="str">
        <v/>
      </c>
      <c r="M507" t="e">
        <f t="array" ref="M507">VLOOKUP(L507,books!B504,1,0)</f>
        <v>#N/A</v>
      </c>
      <c r="N507">
        <f>COUNTA(books!C506:'books'!ZZ506)</f>
        <v>0</v>
      </c>
      <c r="O507" t="e">
        <f t="array" ref="O507">AVERAGE(rating!C506:'rating'!ZZ506)</f>
        <v>#DIV/0!</v>
      </c>
      <c r="P507">
        <f>SUM(COUNTIF(rating!C506:ZZ506, 10))</f>
        <v>0</v>
      </c>
      <c r="R507">
        <f>COUNTA(year!C506:ZZ506)</f>
        <v>0</v>
      </c>
      <c r="S507">
        <f>COUNTA(books!C506:ZZ506)</f>
        <v>0</v>
      </c>
      <c r="T507">
        <f>COUNTA(rating!C506:ZZ506)</f>
        <v>0</v>
      </c>
      <c r="U507">
        <f t="shared" si="7"/>
        <v>0</v>
      </c>
    </row>
    <row r="508" spans="8:21" x14ac:dyDescent="0.35">
      <c r="H508" s="7" t="str">
        <v/>
      </c>
      <c r="J508" t="str">
        <v/>
      </c>
      <c r="K508" t="str">
        <v/>
      </c>
      <c r="M508" t="e">
        <f t="array" ref="M508">VLOOKUP(L508,books!B505,1,0)</f>
        <v>#N/A</v>
      </c>
      <c r="N508">
        <f>COUNTA(books!C507:'books'!ZZ507)</f>
        <v>0</v>
      </c>
      <c r="O508" t="e">
        <f t="array" ref="O508">AVERAGE(rating!C507:'rating'!ZZ507)</f>
        <v>#DIV/0!</v>
      </c>
      <c r="P508">
        <f>SUM(COUNTIF(rating!C507:ZZ507, 10))</f>
        <v>0</v>
      </c>
      <c r="R508">
        <f>COUNTA(year!C507:ZZ507)</f>
        <v>0</v>
      </c>
      <c r="S508">
        <f>COUNTA(books!C507:ZZ507)</f>
        <v>0</v>
      </c>
      <c r="T508">
        <f>COUNTA(rating!C507:ZZ507)</f>
        <v>0</v>
      </c>
      <c r="U508">
        <f t="shared" si="7"/>
        <v>0</v>
      </c>
    </row>
    <row r="509" spans="8:21" x14ac:dyDescent="0.35">
      <c r="H509" s="7" t="str">
        <v/>
      </c>
      <c r="J509" t="str">
        <v/>
      </c>
      <c r="K509" t="str">
        <v/>
      </c>
      <c r="M509" t="e">
        <f t="array" ref="M509">VLOOKUP(L509,books!B506,1,0)</f>
        <v>#N/A</v>
      </c>
      <c r="N509">
        <f>COUNTA(books!C508:'books'!ZZ508)</f>
        <v>0</v>
      </c>
      <c r="O509" t="e">
        <f t="array" ref="O509">AVERAGE(rating!C508:'rating'!ZZ508)</f>
        <v>#DIV/0!</v>
      </c>
      <c r="P509">
        <f>SUM(COUNTIF(rating!C508:ZZ508, 10))</f>
        <v>0</v>
      </c>
      <c r="R509">
        <f>COUNTA(year!C508:ZZ508)</f>
        <v>0</v>
      </c>
      <c r="S509">
        <f>COUNTA(books!C508:ZZ508)</f>
        <v>0</v>
      </c>
      <c r="T509">
        <f>COUNTA(rating!C508:ZZ508)</f>
        <v>0</v>
      </c>
      <c r="U509">
        <f t="shared" si="7"/>
        <v>0</v>
      </c>
    </row>
    <row r="510" spans="8:21" x14ac:dyDescent="0.35">
      <c r="H510" s="7" t="str">
        <v/>
      </c>
      <c r="J510" t="str">
        <v/>
      </c>
      <c r="K510" t="str">
        <v/>
      </c>
      <c r="M510" t="e">
        <f t="array" ref="M510">VLOOKUP(L510,books!B507,1,0)</f>
        <v>#N/A</v>
      </c>
      <c r="N510">
        <f>COUNTA(books!C509:'books'!ZZ509)</f>
        <v>0</v>
      </c>
      <c r="O510" t="e">
        <f t="array" ref="O510">AVERAGE(rating!C509:'rating'!ZZ509)</f>
        <v>#DIV/0!</v>
      </c>
      <c r="P510">
        <f>SUM(COUNTIF(rating!C509:ZZ509, 10))</f>
        <v>0</v>
      </c>
      <c r="R510">
        <f>COUNTA(year!C509:ZZ509)</f>
        <v>0</v>
      </c>
      <c r="S510">
        <f>COUNTA(books!C509:ZZ509)</f>
        <v>0</v>
      </c>
      <c r="T510">
        <f>COUNTA(rating!C509:ZZ509)</f>
        <v>0</v>
      </c>
      <c r="U510">
        <f t="shared" si="7"/>
        <v>0</v>
      </c>
    </row>
    <row r="511" spans="8:21" x14ac:dyDescent="0.35">
      <c r="H511" s="7" t="str">
        <v/>
      </c>
      <c r="J511" t="str">
        <v/>
      </c>
      <c r="K511" t="str">
        <v/>
      </c>
      <c r="M511" t="e">
        <f t="array" ref="M511">VLOOKUP(L511,books!B508,1,0)</f>
        <v>#N/A</v>
      </c>
      <c r="N511">
        <f>COUNTA(books!C510:'books'!ZZ510)</f>
        <v>0</v>
      </c>
      <c r="O511" t="e">
        <f t="array" ref="O511">AVERAGE(rating!C510:'rating'!ZZ510)</f>
        <v>#DIV/0!</v>
      </c>
      <c r="P511">
        <f>SUM(COUNTIF(rating!C510:ZZ510, 10))</f>
        <v>0</v>
      </c>
      <c r="R511">
        <f>COUNTA(year!C510:ZZ510)</f>
        <v>0</v>
      </c>
      <c r="S511">
        <f>COUNTA(books!C510:ZZ510)</f>
        <v>0</v>
      </c>
      <c r="T511">
        <f>COUNTA(rating!C510:ZZ510)</f>
        <v>0</v>
      </c>
      <c r="U511">
        <f t="shared" si="7"/>
        <v>0</v>
      </c>
    </row>
    <row r="512" spans="8:21" x14ac:dyDescent="0.35">
      <c r="H512" s="7" t="str">
        <v/>
      </c>
      <c r="J512" t="str">
        <v/>
      </c>
      <c r="K512" t="str">
        <v/>
      </c>
      <c r="M512" t="e">
        <f t="array" ref="M512">VLOOKUP(L512,books!B509,1,0)</f>
        <v>#N/A</v>
      </c>
      <c r="N512">
        <f>COUNTA(books!C511:'books'!ZZ511)</f>
        <v>0</v>
      </c>
      <c r="O512" t="e">
        <f t="array" ref="O512">AVERAGE(rating!C511:'rating'!ZZ511)</f>
        <v>#DIV/0!</v>
      </c>
      <c r="P512">
        <f>SUM(COUNTIF(rating!C511:ZZ511, 10))</f>
        <v>0</v>
      </c>
      <c r="R512">
        <f>COUNTA(year!C511:ZZ511)</f>
        <v>0</v>
      </c>
      <c r="S512">
        <f>COUNTA(books!C511:ZZ511)</f>
        <v>0</v>
      </c>
      <c r="T512">
        <f>COUNTA(rating!C511:ZZ511)</f>
        <v>0</v>
      </c>
      <c r="U512">
        <f t="shared" si="7"/>
        <v>0</v>
      </c>
    </row>
    <row r="513" spans="8:21" x14ac:dyDescent="0.35">
      <c r="H513" s="7" t="str">
        <v/>
      </c>
      <c r="J513" t="str">
        <v/>
      </c>
      <c r="K513" t="str">
        <v/>
      </c>
      <c r="M513" t="e">
        <f t="array" ref="M513">VLOOKUP(L513,books!B510,1,0)</f>
        <v>#N/A</v>
      </c>
      <c r="N513">
        <f>COUNTA(books!C512:'books'!ZZ512)</f>
        <v>0</v>
      </c>
      <c r="O513" t="e">
        <f t="array" ref="O513">AVERAGE(rating!C512:'rating'!ZZ512)</f>
        <v>#DIV/0!</v>
      </c>
      <c r="P513">
        <f>SUM(COUNTIF(rating!C512:ZZ512, 10))</f>
        <v>0</v>
      </c>
      <c r="R513">
        <f>COUNTA(year!C512:ZZ512)</f>
        <v>0</v>
      </c>
      <c r="S513">
        <f>COUNTA(books!C512:ZZ512)</f>
        <v>0</v>
      </c>
      <c r="T513">
        <f>COUNTA(rating!C512:ZZ512)</f>
        <v>0</v>
      </c>
      <c r="U513">
        <f t="shared" si="7"/>
        <v>0</v>
      </c>
    </row>
    <row r="514" spans="8:21" x14ac:dyDescent="0.35">
      <c r="H514" s="7" t="str">
        <v/>
      </c>
      <c r="J514" t="str">
        <v/>
      </c>
      <c r="K514" t="str">
        <v/>
      </c>
      <c r="M514" t="e">
        <f t="array" ref="M514">VLOOKUP(L514,books!B511,1,0)</f>
        <v>#N/A</v>
      </c>
      <c r="N514">
        <f>COUNTA(books!C513:'books'!ZZ513)</f>
        <v>0</v>
      </c>
      <c r="O514" t="e">
        <f t="array" ref="O514">AVERAGE(rating!C513:'rating'!ZZ513)</f>
        <v>#DIV/0!</v>
      </c>
      <c r="P514">
        <f>SUM(COUNTIF(rating!C513:ZZ513, 10))</f>
        <v>0</v>
      </c>
      <c r="R514">
        <f>COUNTA(year!C513:ZZ513)</f>
        <v>0</v>
      </c>
      <c r="S514">
        <f>COUNTA(books!C513:ZZ513)</f>
        <v>0</v>
      </c>
      <c r="T514">
        <f>COUNTA(rating!C513:ZZ513)</f>
        <v>0</v>
      </c>
      <c r="U514">
        <f t="shared" si="7"/>
        <v>0</v>
      </c>
    </row>
    <row r="515" spans="8:21" x14ac:dyDescent="0.35">
      <c r="H515" s="7" t="str">
        <v/>
      </c>
      <c r="J515" t="str">
        <v/>
      </c>
      <c r="K515" t="str">
        <v/>
      </c>
      <c r="M515" t="e">
        <f t="array" ref="M515">VLOOKUP(L515,books!B512,1,0)</f>
        <v>#N/A</v>
      </c>
      <c r="N515">
        <f>COUNTA(books!C514:'books'!ZZ514)</f>
        <v>0</v>
      </c>
      <c r="O515" t="e">
        <f t="array" ref="O515">AVERAGE(rating!C514:'rating'!ZZ514)</f>
        <v>#DIV/0!</v>
      </c>
      <c r="P515">
        <f>SUM(COUNTIF(rating!C514:ZZ514, 10))</f>
        <v>0</v>
      </c>
      <c r="R515">
        <f>COUNTA(year!C514:ZZ514)</f>
        <v>0</v>
      </c>
      <c r="S515">
        <f>COUNTA(books!C514:ZZ514)</f>
        <v>0</v>
      </c>
      <c r="T515">
        <f>COUNTA(rating!C514:ZZ514)</f>
        <v>0</v>
      </c>
      <c r="U515">
        <f t="shared" ref="U515:U578" si="8">R515-T515</f>
        <v>0</v>
      </c>
    </row>
    <row r="516" spans="8:21" x14ac:dyDescent="0.35">
      <c r="H516" s="7" t="str">
        <v/>
      </c>
      <c r="J516" t="str">
        <v/>
      </c>
      <c r="K516" t="str">
        <v/>
      </c>
      <c r="M516" t="e">
        <f t="array" ref="M516">VLOOKUP(L516,books!B513,1,0)</f>
        <v>#N/A</v>
      </c>
      <c r="N516">
        <f>COUNTA(books!C515:'books'!ZZ515)</f>
        <v>0</v>
      </c>
      <c r="O516" t="e">
        <f t="array" ref="O516">AVERAGE(rating!C515:'rating'!ZZ515)</f>
        <v>#DIV/0!</v>
      </c>
      <c r="P516">
        <f>SUM(COUNTIF(rating!C515:ZZ515, 10))</f>
        <v>0</v>
      </c>
      <c r="R516">
        <f>COUNTA(year!C515:ZZ515)</f>
        <v>0</v>
      </c>
      <c r="S516">
        <f>COUNTA(books!C515:ZZ515)</f>
        <v>0</v>
      </c>
      <c r="T516">
        <f>COUNTA(rating!C515:ZZ515)</f>
        <v>0</v>
      </c>
      <c r="U516">
        <f t="shared" si="8"/>
        <v>0</v>
      </c>
    </row>
    <row r="517" spans="8:21" x14ac:dyDescent="0.35">
      <c r="H517" s="7" t="str">
        <v/>
      </c>
      <c r="J517" t="str">
        <v/>
      </c>
      <c r="K517" t="str">
        <v/>
      </c>
      <c r="M517" t="e">
        <f t="array" ref="M517">VLOOKUP(L517,books!B514,1,0)</f>
        <v>#N/A</v>
      </c>
      <c r="N517">
        <f>COUNTA(books!C516:'books'!ZZ516)</f>
        <v>0</v>
      </c>
      <c r="O517" t="e">
        <f t="array" ref="O517">AVERAGE(rating!C516:'rating'!ZZ516)</f>
        <v>#DIV/0!</v>
      </c>
      <c r="P517">
        <f>SUM(COUNTIF(rating!C516:ZZ516, 10))</f>
        <v>0</v>
      </c>
      <c r="R517">
        <f>COUNTA(year!C516:ZZ516)</f>
        <v>0</v>
      </c>
      <c r="S517">
        <f>COUNTA(books!C516:ZZ516)</f>
        <v>0</v>
      </c>
      <c r="T517">
        <f>COUNTA(rating!C516:ZZ516)</f>
        <v>0</v>
      </c>
      <c r="U517">
        <f t="shared" si="8"/>
        <v>0</v>
      </c>
    </row>
    <row r="518" spans="8:21" x14ac:dyDescent="0.35">
      <c r="H518" s="7" t="str">
        <v/>
      </c>
      <c r="J518" t="str">
        <v/>
      </c>
      <c r="K518" t="str">
        <v/>
      </c>
      <c r="M518" t="e">
        <f t="array" ref="M518">VLOOKUP(L518,books!B515,1,0)</f>
        <v>#N/A</v>
      </c>
      <c r="N518">
        <f>COUNTA(books!C517:'books'!ZZ517)</f>
        <v>0</v>
      </c>
      <c r="O518" t="e">
        <f t="array" ref="O518">AVERAGE(rating!C517:'rating'!ZZ517)</f>
        <v>#DIV/0!</v>
      </c>
      <c r="P518">
        <f>SUM(COUNTIF(rating!C517:ZZ517, 10))</f>
        <v>0</v>
      </c>
      <c r="R518">
        <f>COUNTA(year!C517:ZZ517)</f>
        <v>0</v>
      </c>
      <c r="S518">
        <f>COUNTA(books!C517:ZZ517)</f>
        <v>0</v>
      </c>
      <c r="T518">
        <f>COUNTA(rating!C517:ZZ517)</f>
        <v>0</v>
      </c>
      <c r="U518">
        <f t="shared" si="8"/>
        <v>0</v>
      </c>
    </row>
    <row r="519" spans="8:21" x14ac:dyDescent="0.35">
      <c r="H519" s="7" t="str">
        <v/>
      </c>
      <c r="J519" t="str">
        <v/>
      </c>
      <c r="K519" t="str">
        <v/>
      </c>
      <c r="M519" t="e">
        <f t="array" ref="M519">VLOOKUP(L519,books!B516,1,0)</f>
        <v>#N/A</v>
      </c>
      <c r="N519">
        <f>COUNTA(books!C518:'books'!ZZ518)</f>
        <v>0</v>
      </c>
      <c r="O519" t="e">
        <f t="array" ref="O519">AVERAGE(rating!C518:'rating'!ZZ518)</f>
        <v>#DIV/0!</v>
      </c>
      <c r="P519">
        <f>SUM(COUNTIF(rating!C518:ZZ518, 10))</f>
        <v>0</v>
      </c>
      <c r="R519">
        <f>COUNTA(year!C518:ZZ518)</f>
        <v>0</v>
      </c>
      <c r="S519">
        <f>COUNTA(books!C518:ZZ518)</f>
        <v>0</v>
      </c>
      <c r="T519">
        <f>COUNTA(rating!C518:ZZ518)</f>
        <v>0</v>
      </c>
      <c r="U519">
        <f t="shared" si="8"/>
        <v>0</v>
      </c>
    </row>
    <row r="520" spans="8:21" x14ac:dyDescent="0.35">
      <c r="H520" s="7" t="str">
        <v/>
      </c>
      <c r="J520" t="str">
        <v/>
      </c>
      <c r="K520" t="str">
        <v/>
      </c>
      <c r="M520" t="e">
        <f t="array" ref="M520">VLOOKUP(L520,books!B517,1,0)</f>
        <v>#N/A</v>
      </c>
      <c r="N520">
        <f>COUNTA(books!C519:'books'!ZZ519)</f>
        <v>0</v>
      </c>
      <c r="O520" t="e">
        <f t="array" ref="O520">AVERAGE(rating!C519:'rating'!ZZ519)</f>
        <v>#DIV/0!</v>
      </c>
      <c r="P520">
        <f>SUM(COUNTIF(rating!C519:ZZ519, 10))</f>
        <v>0</v>
      </c>
      <c r="R520">
        <f>COUNTA(year!C519:ZZ519)</f>
        <v>0</v>
      </c>
      <c r="S520">
        <f>COUNTA(books!C519:ZZ519)</f>
        <v>0</v>
      </c>
      <c r="T520">
        <f>COUNTA(rating!C519:ZZ519)</f>
        <v>0</v>
      </c>
      <c r="U520">
        <f t="shared" si="8"/>
        <v>0</v>
      </c>
    </row>
    <row r="521" spans="8:21" x14ac:dyDescent="0.35">
      <c r="H521" s="7" t="str">
        <v/>
      </c>
      <c r="J521" t="str">
        <v/>
      </c>
      <c r="K521" t="str">
        <v/>
      </c>
      <c r="M521" t="e">
        <f t="array" ref="M521">VLOOKUP(L521,books!B518,1,0)</f>
        <v>#N/A</v>
      </c>
      <c r="N521">
        <f>COUNTA(books!C520:'books'!ZZ520)</f>
        <v>0</v>
      </c>
      <c r="O521" t="e">
        <f t="array" ref="O521">AVERAGE(rating!C520:'rating'!ZZ520)</f>
        <v>#DIV/0!</v>
      </c>
      <c r="P521">
        <f>SUM(COUNTIF(rating!C520:ZZ520, 10))</f>
        <v>0</v>
      </c>
      <c r="T521">
        <f>COUNTA(rating!C520:ZZ520)</f>
        <v>0</v>
      </c>
      <c r="U521">
        <f t="shared" si="8"/>
        <v>0</v>
      </c>
    </row>
    <row r="522" spans="8:21" x14ac:dyDescent="0.35">
      <c r="H522" s="7" t="str">
        <v/>
      </c>
      <c r="J522" t="str">
        <v/>
      </c>
      <c r="K522" t="str">
        <v/>
      </c>
      <c r="M522" t="e">
        <f t="array" ref="M522">VLOOKUP(L522,books!B519,1,0)</f>
        <v>#N/A</v>
      </c>
      <c r="N522">
        <f>COUNTA(books!C521:'books'!ZZ521)</f>
        <v>0</v>
      </c>
      <c r="O522" t="e">
        <f t="array" ref="O522">AVERAGE(rating!C521:'rating'!ZZ521)</f>
        <v>#DIV/0!</v>
      </c>
      <c r="P522">
        <f>SUM(COUNTIF(rating!C521:ZZ521, 10))</f>
        <v>0</v>
      </c>
      <c r="T522">
        <f>COUNTA(rating!C521:ZZ521)</f>
        <v>0</v>
      </c>
      <c r="U522">
        <f t="shared" si="8"/>
        <v>0</v>
      </c>
    </row>
    <row r="523" spans="8:21" x14ac:dyDescent="0.35">
      <c r="H523" s="7" t="str">
        <v/>
      </c>
      <c r="J523" t="str">
        <v/>
      </c>
      <c r="K523" t="str">
        <v/>
      </c>
      <c r="M523" t="e">
        <f t="array" ref="M523">VLOOKUP(L523,books!B520,1,0)</f>
        <v>#N/A</v>
      </c>
      <c r="N523">
        <f>COUNTA(books!C522:'books'!ZZ522)</f>
        <v>0</v>
      </c>
      <c r="O523" t="e">
        <f t="array" ref="O523">AVERAGE(rating!C522:'rating'!ZZ522)</f>
        <v>#DIV/0!</v>
      </c>
      <c r="P523">
        <f>SUM(COUNTIF(rating!C522:ZZ522, 10))</f>
        <v>0</v>
      </c>
      <c r="T523">
        <f>COUNTA(rating!C522:ZZ522)</f>
        <v>0</v>
      </c>
      <c r="U523">
        <f t="shared" si="8"/>
        <v>0</v>
      </c>
    </row>
    <row r="524" spans="8:21" x14ac:dyDescent="0.35">
      <c r="H524" s="7" t="str">
        <v/>
      </c>
      <c r="J524" t="str">
        <v/>
      </c>
      <c r="K524" t="str">
        <v/>
      </c>
      <c r="M524" t="e">
        <f t="array" ref="M524">VLOOKUP(L524,books!B521,1,0)</f>
        <v>#N/A</v>
      </c>
      <c r="N524">
        <f>COUNTA(books!C523:'books'!ZZ523)</f>
        <v>0</v>
      </c>
      <c r="O524" t="e">
        <f t="array" ref="O524">AVERAGE(rating!C523:'rating'!ZZ523)</f>
        <v>#DIV/0!</v>
      </c>
      <c r="P524">
        <f>SUM(COUNTIF(rating!C523:ZZ523, 10))</f>
        <v>0</v>
      </c>
      <c r="T524">
        <f>COUNTA(rating!C523:ZZ523)</f>
        <v>0</v>
      </c>
      <c r="U524">
        <f t="shared" si="8"/>
        <v>0</v>
      </c>
    </row>
    <row r="525" spans="8:21" x14ac:dyDescent="0.35">
      <c r="H525" s="7" t="str">
        <v/>
      </c>
      <c r="J525" t="str">
        <v/>
      </c>
      <c r="K525" t="str">
        <v/>
      </c>
      <c r="M525" t="e">
        <f t="array" ref="M525">VLOOKUP(L525,books!B522,1,0)</f>
        <v>#N/A</v>
      </c>
      <c r="N525">
        <f>COUNTA(books!C524:'books'!ZZ524)</f>
        <v>0</v>
      </c>
      <c r="O525" t="e">
        <f t="array" ref="O525">AVERAGE(rating!C524:'rating'!ZZ524)</f>
        <v>#DIV/0!</v>
      </c>
      <c r="P525">
        <f>SUM(COUNTIF(rating!C524:ZZ524, 10))</f>
        <v>0</v>
      </c>
      <c r="T525">
        <f>COUNTA(rating!C524:ZZ524)</f>
        <v>0</v>
      </c>
      <c r="U525">
        <f t="shared" si="8"/>
        <v>0</v>
      </c>
    </row>
    <row r="526" spans="8:21" x14ac:dyDescent="0.35">
      <c r="H526" s="7" t="str">
        <v/>
      </c>
      <c r="J526" t="str">
        <v/>
      </c>
      <c r="K526" t="str">
        <v/>
      </c>
      <c r="M526" t="e">
        <f t="array" ref="M526">VLOOKUP(L526,books!B523,1,0)</f>
        <v>#N/A</v>
      </c>
      <c r="N526">
        <f>COUNTA(books!C525:'books'!ZZ525)</f>
        <v>0</v>
      </c>
      <c r="O526" t="e">
        <f t="array" ref="O526">AVERAGE(rating!C525:'rating'!ZZ525)</f>
        <v>#DIV/0!</v>
      </c>
      <c r="P526">
        <f>SUM(COUNTIF(rating!C525:ZZ525, 10))</f>
        <v>0</v>
      </c>
      <c r="T526">
        <f>COUNTA(rating!C525:ZZ525)</f>
        <v>0</v>
      </c>
      <c r="U526">
        <f t="shared" si="8"/>
        <v>0</v>
      </c>
    </row>
    <row r="527" spans="8:21" x14ac:dyDescent="0.35">
      <c r="H527" s="7" t="str">
        <v/>
      </c>
      <c r="J527" t="str">
        <v/>
      </c>
      <c r="K527" t="str">
        <v/>
      </c>
      <c r="M527" t="e">
        <f t="array" ref="M527">VLOOKUP(L527,books!B524,1,0)</f>
        <v>#N/A</v>
      </c>
      <c r="N527">
        <f>COUNTA(books!C526:'books'!ZZ526)</f>
        <v>0</v>
      </c>
      <c r="O527" t="e">
        <f t="array" ref="O527">AVERAGE(rating!C526:'rating'!ZZ526)</f>
        <v>#DIV/0!</v>
      </c>
      <c r="P527">
        <f>SUM(COUNTIF(rating!C526:ZZ526, 10))</f>
        <v>0</v>
      </c>
      <c r="T527">
        <f>COUNTA(rating!C526:ZZ526)</f>
        <v>0</v>
      </c>
      <c r="U527">
        <f t="shared" si="8"/>
        <v>0</v>
      </c>
    </row>
    <row r="528" spans="8:21" x14ac:dyDescent="0.35">
      <c r="H528" s="7" t="str">
        <v/>
      </c>
      <c r="J528" t="str">
        <v/>
      </c>
      <c r="K528" t="str">
        <v/>
      </c>
      <c r="M528" t="e">
        <f t="array" ref="M528">VLOOKUP(L528,books!B525,1,0)</f>
        <v>#N/A</v>
      </c>
      <c r="N528">
        <f>COUNTA(books!C527:'books'!ZZ527)</f>
        <v>0</v>
      </c>
      <c r="O528" t="e">
        <f t="array" ref="O528">AVERAGE(rating!C527:'rating'!ZZ527)</f>
        <v>#DIV/0!</v>
      </c>
      <c r="P528">
        <f>SUM(COUNTIF(rating!C527:ZZ527, 10))</f>
        <v>0</v>
      </c>
      <c r="T528">
        <f>COUNTA(rating!C527:ZZ527)</f>
        <v>0</v>
      </c>
      <c r="U528">
        <f t="shared" si="8"/>
        <v>0</v>
      </c>
    </row>
    <row r="529" spans="8:21" x14ac:dyDescent="0.35">
      <c r="H529" s="7" t="str">
        <v/>
      </c>
      <c r="J529" t="str">
        <v/>
      </c>
      <c r="K529" t="str">
        <v/>
      </c>
      <c r="M529" t="e">
        <f t="array" ref="M529">VLOOKUP(L529,books!B526,1,0)</f>
        <v>#N/A</v>
      </c>
      <c r="N529">
        <f>COUNTA(books!C528:'books'!ZZ528)</f>
        <v>0</v>
      </c>
      <c r="O529" t="e">
        <f t="array" ref="O529">AVERAGE(rating!C528:'rating'!ZZ528)</f>
        <v>#DIV/0!</v>
      </c>
      <c r="P529">
        <f>SUM(COUNTIF(rating!C528:ZZ528, 10))</f>
        <v>0</v>
      </c>
      <c r="T529">
        <f>COUNTA(rating!C528:ZZ528)</f>
        <v>0</v>
      </c>
      <c r="U529">
        <f t="shared" si="8"/>
        <v>0</v>
      </c>
    </row>
    <row r="530" spans="8:21" x14ac:dyDescent="0.35">
      <c r="H530" s="7" t="str">
        <v/>
      </c>
      <c r="J530" t="str">
        <v/>
      </c>
      <c r="K530" t="str">
        <v/>
      </c>
      <c r="M530" t="e">
        <f t="array" ref="M530">VLOOKUP(L530,books!B527,1,0)</f>
        <v>#N/A</v>
      </c>
      <c r="N530">
        <f>COUNTA(books!C529:'books'!ZZ529)</f>
        <v>0</v>
      </c>
      <c r="O530" t="e">
        <f t="array" ref="O530">AVERAGE(rating!C529:'rating'!ZZ529)</f>
        <v>#DIV/0!</v>
      </c>
      <c r="P530">
        <f>SUM(COUNTIF(rating!C529:ZZ529, 10))</f>
        <v>0</v>
      </c>
      <c r="T530">
        <f>COUNTA(rating!C529:ZZ529)</f>
        <v>0</v>
      </c>
      <c r="U530">
        <f t="shared" si="8"/>
        <v>0</v>
      </c>
    </row>
    <row r="531" spans="8:21" x14ac:dyDescent="0.35">
      <c r="H531" s="7" t="str">
        <v/>
      </c>
      <c r="J531" t="str">
        <v/>
      </c>
      <c r="K531" t="str">
        <v/>
      </c>
      <c r="M531" t="e">
        <f t="array" ref="M531">VLOOKUP(L531,books!B528,1,0)</f>
        <v>#N/A</v>
      </c>
      <c r="N531">
        <f>COUNTA(books!C530:'books'!ZZ530)</f>
        <v>0</v>
      </c>
      <c r="O531" t="e">
        <f t="array" ref="O531">AVERAGE(rating!C530:'rating'!ZZ530)</f>
        <v>#DIV/0!</v>
      </c>
      <c r="P531">
        <f>SUM(COUNTIF(rating!C530:ZZ530, 10))</f>
        <v>0</v>
      </c>
      <c r="T531">
        <f>COUNTA(rating!C530:ZZ530)</f>
        <v>0</v>
      </c>
      <c r="U531">
        <f t="shared" si="8"/>
        <v>0</v>
      </c>
    </row>
    <row r="532" spans="8:21" x14ac:dyDescent="0.35">
      <c r="H532" s="7" t="str">
        <v/>
      </c>
      <c r="J532" t="str">
        <v/>
      </c>
      <c r="K532" t="str">
        <v/>
      </c>
      <c r="M532" t="e">
        <f t="array" ref="M532">VLOOKUP(L532,books!B529,1,0)</f>
        <v>#N/A</v>
      </c>
      <c r="N532">
        <f>COUNTA(books!C531:'books'!ZZ531)</f>
        <v>0</v>
      </c>
      <c r="O532" t="e">
        <f t="array" ref="O532">AVERAGE(rating!C531:'rating'!ZZ531)</f>
        <v>#DIV/0!</v>
      </c>
      <c r="P532">
        <f>SUM(COUNTIF(rating!C531:ZZ531, 10))</f>
        <v>0</v>
      </c>
      <c r="T532">
        <f>COUNTA(rating!C531:ZZ531)</f>
        <v>0</v>
      </c>
      <c r="U532">
        <f t="shared" si="8"/>
        <v>0</v>
      </c>
    </row>
    <row r="533" spans="8:21" x14ac:dyDescent="0.35">
      <c r="H533" s="7" t="str">
        <v/>
      </c>
      <c r="J533" t="str">
        <v/>
      </c>
      <c r="K533" t="str">
        <v/>
      </c>
      <c r="M533" t="e">
        <f t="array" ref="M533">VLOOKUP(L533,books!B530,1,0)</f>
        <v>#N/A</v>
      </c>
      <c r="N533">
        <f>COUNTA(books!C532:'books'!ZZ532)</f>
        <v>0</v>
      </c>
      <c r="O533" t="e">
        <f t="array" ref="O533">AVERAGE(rating!C532:'rating'!ZZ532)</f>
        <v>#DIV/0!</v>
      </c>
      <c r="P533">
        <f>SUM(COUNTIF(rating!C532:ZZ532, 10))</f>
        <v>0</v>
      </c>
      <c r="T533">
        <f>COUNTA(rating!C532:ZZ532)</f>
        <v>0</v>
      </c>
      <c r="U533">
        <f t="shared" si="8"/>
        <v>0</v>
      </c>
    </row>
    <row r="534" spans="8:21" x14ac:dyDescent="0.35">
      <c r="H534" s="7" t="str">
        <v/>
      </c>
      <c r="J534" t="str">
        <v/>
      </c>
      <c r="K534" t="str">
        <v/>
      </c>
      <c r="M534" t="e">
        <f t="array" ref="M534">VLOOKUP(L534,books!B531,1,0)</f>
        <v>#N/A</v>
      </c>
      <c r="N534">
        <f>COUNTA(books!C533:'books'!ZZ533)</f>
        <v>0</v>
      </c>
      <c r="O534" t="e">
        <f t="array" ref="O534">AVERAGE(rating!C533:'rating'!ZZ533)</f>
        <v>#DIV/0!</v>
      </c>
      <c r="P534">
        <f>SUM(COUNTIF(rating!C533:ZZ533, 10))</f>
        <v>0</v>
      </c>
      <c r="T534">
        <f>COUNTA(rating!C533:ZZ533)</f>
        <v>0</v>
      </c>
      <c r="U534">
        <f t="shared" si="8"/>
        <v>0</v>
      </c>
    </row>
    <row r="535" spans="8:21" x14ac:dyDescent="0.35">
      <c r="H535" s="7" t="str">
        <v/>
      </c>
      <c r="J535" t="str">
        <v/>
      </c>
      <c r="K535" t="str">
        <v/>
      </c>
      <c r="M535" t="e">
        <f t="array" ref="M535">VLOOKUP(L535,books!B532,1,0)</f>
        <v>#N/A</v>
      </c>
      <c r="N535">
        <f>COUNTA(books!C534:'books'!ZZ534)</f>
        <v>0</v>
      </c>
      <c r="O535" t="e">
        <f t="array" ref="O535">AVERAGE(rating!C534:'rating'!ZZ534)</f>
        <v>#DIV/0!</v>
      </c>
      <c r="P535">
        <f>SUM(COUNTIF(rating!C534:ZZ534, 10))</f>
        <v>0</v>
      </c>
      <c r="T535">
        <f>COUNTA(rating!C534:ZZ534)</f>
        <v>0</v>
      </c>
      <c r="U535">
        <f t="shared" si="8"/>
        <v>0</v>
      </c>
    </row>
    <row r="536" spans="8:21" x14ac:dyDescent="0.35">
      <c r="H536" s="7" t="str">
        <v/>
      </c>
      <c r="J536" t="str">
        <v/>
      </c>
      <c r="K536" t="str">
        <v/>
      </c>
      <c r="M536" t="e">
        <f t="array" ref="M536">VLOOKUP(L536,books!B533,1,0)</f>
        <v>#N/A</v>
      </c>
      <c r="N536">
        <f>COUNTA(books!C535:'books'!ZZ535)</f>
        <v>0</v>
      </c>
      <c r="O536" t="e">
        <f t="array" ref="O536">AVERAGE(rating!C535:'rating'!ZZ535)</f>
        <v>#DIV/0!</v>
      </c>
      <c r="P536">
        <f>SUM(COUNTIF(rating!C535:ZZ535, 10))</f>
        <v>0</v>
      </c>
      <c r="T536">
        <f>COUNTA(rating!C535:ZZ535)</f>
        <v>0</v>
      </c>
      <c r="U536">
        <f t="shared" si="8"/>
        <v>0</v>
      </c>
    </row>
    <row r="537" spans="8:21" x14ac:dyDescent="0.35">
      <c r="H537" s="7" t="str">
        <v/>
      </c>
      <c r="J537" t="str">
        <v/>
      </c>
      <c r="K537" t="str">
        <v/>
      </c>
      <c r="M537" t="e">
        <f t="array" ref="M537">VLOOKUP(L537,books!B534,1,0)</f>
        <v>#N/A</v>
      </c>
      <c r="N537">
        <f>COUNTA(books!C536:'books'!ZZ536)</f>
        <v>0</v>
      </c>
      <c r="O537" t="e">
        <f t="array" ref="O537">AVERAGE(rating!C536:'rating'!ZZ536)</f>
        <v>#DIV/0!</v>
      </c>
      <c r="P537">
        <f>SUM(COUNTIF(rating!C536:ZZ536, 10))</f>
        <v>0</v>
      </c>
      <c r="T537">
        <f>COUNTA(rating!C536:ZZ536)</f>
        <v>0</v>
      </c>
      <c r="U537">
        <f t="shared" si="8"/>
        <v>0</v>
      </c>
    </row>
    <row r="538" spans="8:21" x14ac:dyDescent="0.35">
      <c r="H538" s="7" t="str">
        <v/>
      </c>
      <c r="J538" t="str">
        <v/>
      </c>
      <c r="K538" t="str">
        <v/>
      </c>
      <c r="M538" t="e">
        <f t="array" ref="M538">VLOOKUP(L538,books!B535,1,0)</f>
        <v>#N/A</v>
      </c>
      <c r="N538">
        <f>COUNTA(books!C537:'books'!ZZ537)</f>
        <v>0</v>
      </c>
      <c r="O538" t="e">
        <f t="array" ref="O538">AVERAGE(rating!C537:'rating'!ZZ537)</f>
        <v>#DIV/0!</v>
      </c>
      <c r="P538">
        <f>SUM(COUNTIF(rating!C537:ZZ537, 10))</f>
        <v>0</v>
      </c>
      <c r="T538">
        <f>COUNTA(rating!C537:ZZ537)</f>
        <v>0</v>
      </c>
      <c r="U538">
        <f t="shared" si="8"/>
        <v>0</v>
      </c>
    </row>
    <row r="539" spans="8:21" x14ac:dyDescent="0.35">
      <c r="H539" s="7" t="str">
        <v/>
      </c>
      <c r="J539" t="str">
        <v/>
      </c>
      <c r="K539" t="str">
        <v/>
      </c>
      <c r="M539" t="e">
        <f t="array" ref="M539">VLOOKUP(L539,books!B536,1,0)</f>
        <v>#N/A</v>
      </c>
      <c r="N539">
        <f>COUNTA(books!C538:'books'!ZZ538)</f>
        <v>0</v>
      </c>
      <c r="O539" t="e">
        <f t="array" ref="O539">AVERAGE(rating!C538:'rating'!ZZ538)</f>
        <v>#DIV/0!</v>
      </c>
      <c r="P539">
        <f>SUM(COUNTIF(rating!C538:ZZ538, 10))</f>
        <v>0</v>
      </c>
      <c r="T539">
        <f>COUNTA(rating!C538:ZZ538)</f>
        <v>0</v>
      </c>
      <c r="U539">
        <f t="shared" si="8"/>
        <v>0</v>
      </c>
    </row>
    <row r="540" spans="8:21" x14ac:dyDescent="0.35">
      <c r="H540" s="7" t="str">
        <v/>
      </c>
      <c r="J540" t="str">
        <v/>
      </c>
      <c r="K540" t="str">
        <v/>
      </c>
      <c r="M540" t="e">
        <f t="array" ref="M540">VLOOKUP(L540,books!B537,1,0)</f>
        <v>#N/A</v>
      </c>
      <c r="N540">
        <f>COUNTA(books!C539:'books'!ZZ539)</f>
        <v>0</v>
      </c>
      <c r="O540" t="e">
        <f t="array" ref="O540">AVERAGE(rating!C539:'rating'!ZZ539)</f>
        <v>#DIV/0!</v>
      </c>
      <c r="P540">
        <f>SUM(COUNTIF(rating!C539:ZZ539, 10))</f>
        <v>0</v>
      </c>
      <c r="T540">
        <f>COUNTA(rating!C539:ZZ539)</f>
        <v>0</v>
      </c>
      <c r="U540">
        <f t="shared" si="8"/>
        <v>0</v>
      </c>
    </row>
    <row r="541" spans="8:21" x14ac:dyDescent="0.35">
      <c r="H541" s="7" t="str">
        <v/>
      </c>
      <c r="J541" t="str">
        <v/>
      </c>
      <c r="K541" t="str">
        <v/>
      </c>
      <c r="M541" t="e">
        <f t="array" ref="M541">VLOOKUP(L541,books!B538,1,0)</f>
        <v>#N/A</v>
      </c>
      <c r="N541">
        <f>COUNTA(books!C540:'books'!ZZ540)</f>
        <v>0</v>
      </c>
      <c r="O541" t="e">
        <f t="array" ref="O541">AVERAGE(rating!C540:'rating'!ZZ540)</f>
        <v>#DIV/0!</v>
      </c>
      <c r="P541">
        <f>SUM(COUNTIF(rating!C540:ZZ540, 10))</f>
        <v>0</v>
      </c>
      <c r="T541">
        <f>COUNTA(rating!C540:ZZ540)</f>
        <v>0</v>
      </c>
      <c r="U541">
        <f t="shared" si="8"/>
        <v>0</v>
      </c>
    </row>
    <row r="542" spans="8:21" x14ac:dyDescent="0.35">
      <c r="H542" s="7" t="str">
        <v/>
      </c>
      <c r="J542" t="str">
        <v/>
      </c>
      <c r="K542" t="str">
        <v/>
      </c>
      <c r="M542" t="e">
        <f t="array" ref="M542">VLOOKUP(L542,books!B539,1,0)</f>
        <v>#N/A</v>
      </c>
      <c r="N542">
        <f>COUNTA(books!C541:'books'!ZZ541)</f>
        <v>0</v>
      </c>
      <c r="O542" t="e">
        <f t="array" ref="O542">AVERAGE(rating!C541:'rating'!ZZ541)</f>
        <v>#DIV/0!</v>
      </c>
      <c r="P542">
        <f>SUM(COUNTIF(rating!C541:ZZ541, 10))</f>
        <v>0</v>
      </c>
      <c r="T542">
        <f>COUNTA(rating!C541:ZZ541)</f>
        <v>0</v>
      </c>
      <c r="U542">
        <f t="shared" si="8"/>
        <v>0</v>
      </c>
    </row>
    <row r="543" spans="8:21" x14ac:dyDescent="0.35">
      <c r="H543" s="7" t="str">
        <v/>
      </c>
      <c r="J543" t="str">
        <v/>
      </c>
      <c r="K543" t="str">
        <v/>
      </c>
      <c r="M543" t="e">
        <f t="array" ref="M543">VLOOKUP(L543,books!B540,1,0)</f>
        <v>#N/A</v>
      </c>
      <c r="N543">
        <f>COUNTA(books!C542:'books'!ZZ542)</f>
        <v>0</v>
      </c>
      <c r="O543" t="e">
        <f t="array" ref="O543">AVERAGE(rating!C542:'rating'!ZZ542)</f>
        <v>#DIV/0!</v>
      </c>
      <c r="P543">
        <f>SUM(COUNTIF(rating!C542:ZZ542, 10))</f>
        <v>0</v>
      </c>
      <c r="T543">
        <f>COUNTA(rating!C542:ZZ542)</f>
        <v>0</v>
      </c>
      <c r="U543">
        <f t="shared" si="8"/>
        <v>0</v>
      </c>
    </row>
    <row r="544" spans="8:21" x14ac:dyDescent="0.35">
      <c r="H544" s="7" t="str">
        <v/>
      </c>
      <c r="J544" t="str">
        <v/>
      </c>
      <c r="K544" t="str">
        <v/>
      </c>
      <c r="N544">
        <f>COUNTA(books!C543:'books'!ZZ543)</f>
        <v>0</v>
      </c>
      <c r="O544" t="e">
        <f t="array" ref="O544">AVERAGE(rating!C543:'rating'!ZZ543)</f>
        <v>#DIV/0!</v>
      </c>
      <c r="P544">
        <f>SUM(COUNTIF(rating!C543:ZZ543, 10))</f>
        <v>0</v>
      </c>
      <c r="T544">
        <f>COUNTA(rating!C543:ZZ543)</f>
        <v>0</v>
      </c>
      <c r="U544">
        <f t="shared" si="8"/>
        <v>0</v>
      </c>
    </row>
    <row r="545" spans="8:21" x14ac:dyDescent="0.35">
      <c r="H545" s="7" t="str">
        <v/>
      </c>
      <c r="J545" t="str">
        <v/>
      </c>
      <c r="K545" t="str">
        <v/>
      </c>
      <c r="N545">
        <f>COUNTA(books!C544:'books'!ZZ544)</f>
        <v>0</v>
      </c>
      <c r="O545" t="e">
        <f t="array" ref="O545">AVERAGE(rating!C544:'rating'!ZZ544)</f>
        <v>#DIV/0!</v>
      </c>
      <c r="P545">
        <f>SUM(COUNTIF(rating!C544:ZZ544, 10))</f>
        <v>0</v>
      </c>
      <c r="T545">
        <f>COUNTA(rating!C544:ZZ544)</f>
        <v>0</v>
      </c>
      <c r="U545">
        <f t="shared" si="8"/>
        <v>0</v>
      </c>
    </row>
    <row r="546" spans="8:21" x14ac:dyDescent="0.35">
      <c r="H546" s="7" t="str">
        <v/>
      </c>
      <c r="J546" t="str">
        <v/>
      </c>
      <c r="K546" t="str">
        <v/>
      </c>
      <c r="N546">
        <f>COUNTA(books!C545:'books'!ZZ545)</f>
        <v>0</v>
      </c>
      <c r="O546" t="e">
        <f t="array" ref="O546">AVERAGE(rating!C545:'rating'!ZZ545)</f>
        <v>#DIV/0!</v>
      </c>
      <c r="P546">
        <f>SUM(COUNTIF(rating!C545:ZZ545, 10))</f>
        <v>0</v>
      </c>
      <c r="T546">
        <f>COUNTA(rating!C545:ZZ545)</f>
        <v>0</v>
      </c>
      <c r="U546">
        <f t="shared" si="8"/>
        <v>0</v>
      </c>
    </row>
    <row r="547" spans="8:21" x14ac:dyDescent="0.35">
      <c r="H547" s="7" t="str">
        <v/>
      </c>
      <c r="J547" t="str">
        <v/>
      </c>
      <c r="K547" t="str">
        <v/>
      </c>
      <c r="N547">
        <f>COUNTA(books!C546:'books'!ZZ546)</f>
        <v>0</v>
      </c>
      <c r="O547" t="e">
        <f t="array" ref="O547">AVERAGE(rating!C546:'rating'!ZZ546)</f>
        <v>#DIV/0!</v>
      </c>
      <c r="P547">
        <f>SUM(COUNTIF(rating!C546:ZZ546, 10))</f>
        <v>0</v>
      </c>
      <c r="T547">
        <f>COUNTA(rating!C546:ZZ546)</f>
        <v>0</v>
      </c>
      <c r="U547">
        <f t="shared" si="8"/>
        <v>0</v>
      </c>
    </row>
    <row r="548" spans="8:21" x14ac:dyDescent="0.35">
      <c r="H548" s="7" t="str">
        <v/>
      </c>
      <c r="J548" t="str">
        <v/>
      </c>
      <c r="K548" t="str">
        <v/>
      </c>
      <c r="N548">
        <f>COUNTA(books!C547:'books'!ZZ547)</f>
        <v>0</v>
      </c>
      <c r="O548" t="e">
        <f t="array" ref="O548">AVERAGE(rating!C547:'rating'!ZZ547)</f>
        <v>#DIV/0!</v>
      </c>
      <c r="P548">
        <f>SUM(COUNTIF(rating!C547:ZZ547, 10))</f>
        <v>0</v>
      </c>
      <c r="T548">
        <f>COUNTA(rating!C547:ZZ547)</f>
        <v>0</v>
      </c>
      <c r="U548">
        <f t="shared" si="8"/>
        <v>0</v>
      </c>
    </row>
    <row r="549" spans="8:21" x14ac:dyDescent="0.35">
      <c r="H549" s="7" t="str">
        <v/>
      </c>
      <c r="J549" t="str">
        <v/>
      </c>
      <c r="K549" t="str">
        <v/>
      </c>
      <c r="N549">
        <f>COUNTA(books!C548:'books'!ZZ548)</f>
        <v>0</v>
      </c>
      <c r="O549" t="e">
        <f t="array" ref="O549">AVERAGE(rating!C548:'rating'!ZZ548)</f>
        <v>#DIV/0!</v>
      </c>
      <c r="P549">
        <f>SUM(COUNTIF(rating!C548:ZZ548, 10))</f>
        <v>0</v>
      </c>
      <c r="T549">
        <f>COUNTA(rating!C548:ZZ548)</f>
        <v>0</v>
      </c>
      <c r="U549">
        <f t="shared" si="8"/>
        <v>0</v>
      </c>
    </row>
    <row r="550" spans="8:21" x14ac:dyDescent="0.35">
      <c r="H550" s="7" t="str">
        <v/>
      </c>
      <c r="J550" t="str">
        <v/>
      </c>
      <c r="K550" t="str">
        <v/>
      </c>
      <c r="N550">
        <f>COUNTA(books!C549:'books'!ZZ549)</f>
        <v>0</v>
      </c>
      <c r="O550" t="e">
        <f t="array" ref="O550">AVERAGE(rating!C549:'rating'!ZZ549)</f>
        <v>#DIV/0!</v>
      </c>
      <c r="P550">
        <f>SUM(COUNTIF(rating!C549:ZZ549, 10))</f>
        <v>0</v>
      </c>
      <c r="T550">
        <f>COUNTA(rating!C549:ZZ549)</f>
        <v>0</v>
      </c>
      <c r="U550">
        <f t="shared" si="8"/>
        <v>0</v>
      </c>
    </row>
    <row r="551" spans="8:21" x14ac:dyDescent="0.35">
      <c r="H551" s="7" t="str">
        <v/>
      </c>
      <c r="J551" t="str">
        <v/>
      </c>
      <c r="K551" t="str">
        <v/>
      </c>
      <c r="N551">
        <f>COUNTA(books!C550:'books'!ZZ550)</f>
        <v>0</v>
      </c>
      <c r="O551" t="e">
        <f t="array" ref="O551">AVERAGE(rating!C550:'rating'!ZZ550)</f>
        <v>#DIV/0!</v>
      </c>
      <c r="P551">
        <f>SUM(COUNTIF(rating!C550:ZZ550, 10))</f>
        <v>0</v>
      </c>
      <c r="T551">
        <f>COUNTA(rating!C550:ZZ550)</f>
        <v>0</v>
      </c>
      <c r="U551">
        <f t="shared" si="8"/>
        <v>0</v>
      </c>
    </row>
    <row r="552" spans="8:21" x14ac:dyDescent="0.35">
      <c r="H552" s="7" t="str">
        <v/>
      </c>
      <c r="J552" t="str">
        <v/>
      </c>
      <c r="K552" t="str">
        <v/>
      </c>
      <c r="N552">
        <f>COUNTA(books!C551:'books'!ZZ551)</f>
        <v>0</v>
      </c>
      <c r="O552" t="e">
        <f t="array" ref="O552">AVERAGE(rating!C551:'rating'!ZZ551)</f>
        <v>#DIV/0!</v>
      </c>
      <c r="P552">
        <f>SUM(COUNTIF(rating!C551:ZZ551, 10))</f>
        <v>0</v>
      </c>
      <c r="T552">
        <f>COUNTA(rating!C551:ZZ551)</f>
        <v>0</v>
      </c>
      <c r="U552">
        <f t="shared" si="8"/>
        <v>0</v>
      </c>
    </row>
    <row r="553" spans="8:21" x14ac:dyDescent="0.35">
      <c r="H553" s="7" t="str">
        <v/>
      </c>
      <c r="J553" t="str">
        <v/>
      </c>
      <c r="K553" t="str">
        <v/>
      </c>
      <c r="N553">
        <f>COUNTA(books!C552:'books'!ZZ552)</f>
        <v>0</v>
      </c>
      <c r="O553" t="e">
        <f t="array" ref="O553">AVERAGE(rating!C552:'rating'!ZZ552)</f>
        <v>#DIV/0!</v>
      </c>
      <c r="P553">
        <f>SUM(COUNTIF(rating!C552:ZZ552, 10))</f>
        <v>0</v>
      </c>
      <c r="T553">
        <f>COUNTA(rating!C552:ZZ552)</f>
        <v>0</v>
      </c>
      <c r="U553">
        <f t="shared" si="8"/>
        <v>0</v>
      </c>
    </row>
    <row r="554" spans="8:21" x14ac:dyDescent="0.35">
      <c r="H554" s="7" t="str">
        <v/>
      </c>
      <c r="J554" t="str">
        <v/>
      </c>
      <c r="K554" t="str">
        <v/>
      </c>
      <c r="N554">
        <f>COUNTA(books!C553:'books'!ZZ553)</f>
        <v>0</v>
      </c>
      <c r="O554" t="e">
        <f t="array" ref="O554">AVERAGE(rating!C553:'rating'!ZZ553)</f>
        <v>#DIV/0!</v>
      </c>
      <c r="P554">
        <f>SUM(COUNTIF(rating!C553:ZZ553, 10))</f>
        <v>0</v>
      </c>
      <c r="T554">
        <f>COUNTA(rating!C553:ZZ553)</f>
        <v>0</v>
      </c>
      <c r="U554">
        <f t="shared" si="8"/>
        <v>0</v>
      </c>
    </row>
    <row r="555" spans="8:21" x14ac:dyDescent="0.35">
      <c r="H555" s="7" t="str">
        <v/>
      </c>
      <c r="J555" t="str">
        <v/>
      </c>
      <c r="K555" t="str">
        <v/>
      </c>
      <c r="N555">
        <f>COUNTA(books!C554:'books'!ZZ554)</f>
        <v>0</v>
      </c>
      <c r="O555" t="e">
        <f t="array" ref="O555">AVERAGE(rating!C554:'rating'!ZZ554)</f>
        <v>#DIV/0!</v>
      </c>
      <c r="P555">
        <f>SUM(COUNTIF(rating!C554:ZZ554, 10))</f>
        <v>0</v>
      </c>
      <c r="T555">
        <f>COUNTA(rating!C554:ZZ554)</f>
        <v>0</v>
      </c>
      <c r="U555">
        <f t="shared" si="8"/>
        <v>0</v>
      </c>
    </row>
    <row r="556" spans="8:21" x14ac:dyDescent="0.35">
      <c r="H556" s="7" t="str">
        <v/>
      </c>
      <c r="J556" t="str">
        <v/>
      </c>
      <c r="K556" t="str">
        <v/>
      </c>
      <c r="N556">
        <f>COUNTA(books!C555:'books'!ZZ555)</f>
        <v>0</v>
      </c>
      <c r="O556" t="e">
        <f t="array" ref="O556">AVERAGE(rating!C555:'rating'!ZZ555)</f>
        <v>#DIV/0!</v>
      </c>
      <c r="P556">
        <f>SUM(COUNTIF(rating!C555:ZZ555, 10))</f>
        <v>0</v>
      </c>
      <c r="T556">
        <f>COUNTA(rating!C555:ZZ555)</f>
        <v>0</v>
      </c>
      <c r="U556">
        <f t="shared" si="8"/>
        <v>0</v>
      </c>
    </row>
    <row r="557" spans="8:21" x14ac:dyDescent="0.35">
      <c r="H557" s="7" t="str">
        <v/>
      </c>
      <c r="J557" t="str">
        <v/>
      </c>
      <c r="K557" t="str">
        <v/>
      </c>
      <c r="N557">
        <f>COUNTA(books!C556:'books'!ZZ556)</f>
        <v>0</v>
      </c>
      <c r="O557" t="e">
        <f t="array" ref="O557">AVERAGE(rating!C556:'rating'!ZZ556)</f>
        <v>#DIV/0!</v>
      </c>
      <c r="P557">
        <f>SUM(COUNTIF(rating!C556:ZZ556, 10))</f>
        <v>0</v>
      </c>
      <c r="T557">
        <f>COUNTA(rating!C556:ZZ556)</f>
        <v>0</v>
      </c>
      <c r="U557">
        <f t="shared" si="8"/>
        <v>0</v>
      </c>
    </row>
    <row r="558" spans="8:21" x14ac:dyDescent="0.35">
      <c r="H558" s="7" t="str">
        <v/>
      </c>
      <c r="J558" t="str">
        <v/>
      </c>
      <c r="K558" t="str">
        <v/>
      </c>
      <c r="N558">
        <f>COUNTA(books!C557:'books'!ZZ557)</f>
        <v>0</v>
      </c>
      <c r="O558" t="e">
        <f t="array" ref="O558">AVERAGE(rating!C557:'rating'!ZZ557)</f>
        <v>#DIV/0!</v>
      </c>
      <c r="P558">
        <f>SUM(COUNTIF(rating!C557:ZZ557, 10))</f>
        <v>0</v>
      </c>
      <c r="T558">
        <f>COUNTA(rating!C557:ZZ557)</f>
        <v>0</v>
      </c>
      <c r="U558">
        <f t="shared" si="8"/>
        <v>0</v>
      </c>
    </row>
    <row r="559" spans="8:21" x14ac:dyDescent="0.35">
      <c r="H559" s="7" t="str">
        <v/>
      </c>
      <c r="J559" t="str">
        <v/>
      </c>
      <c r="K559" t="str">
        <v/>
      </c>
      <c r="N559">
        <f>COUNTA(books!C558:'books'!ZZ558)</f>
        <v>0</v>
      </c>
      <c r="O559" t="e">
        <f t="array" ref="O559">AVERAGE(rating!C558:'rating'!ZZ558)</f>
        <v>#DIV/0!</v>
      </c>
      <c r="P559">
        <f>SUM(COUNTIF(rating!C558:ZZ558, 10))</f>
        <v>0</v>
      </c>
      <c r="T559">
        <f>COUNTA(rating!C558:ZZ558)</f>
        <v>0</v>
      </c>
      <c r="U559">
        <f t="shared" si="8"/>
        <v>0</v>
      </c>
    </row>
    <row r="560" spans="8:21" x14ac:dyDescent="0.35">
      <c r="H560" s="7" t="str">
        <v/>
      </c>
      <c r="J560" t="str">
        <v/>
      </c>
      <c r="K560" t="str">
        <v/>
      </c>
      <c r="N560">
        <f>COUNTA(books!C559:'books'!ZZ559)</f>
        <v>0</v>
      </c>
      <c r="O560" t="e">
        <f t="array" ref="O560">AVERAGE(rating!C559:'rating'!ZZ559)</f>
        <v>#DIV/0!</v>
      </c>
      <c r="P560">
        <f>SUM(COUNTIF(rating!C559:ZZ559, 10))</f>
        <v>0</v>
      </c>
      <c r="T560">
        <f>COUNTA(rating!C559:ZZ559)</f>
        <v>0</v>
      </c>
      <c r="U560">
        <f t="shared" si="8"/>
        <v>0</v>
      </c>
    </row>
    <row r="561" spans="8:21" x14ac:dyDescent="0.35">
      <c r="H561" s="7" t="str">
        <v/>
      </c>
      <c r="J561" t="str">
        <v/>
      </c>
      <c r="K561" t="str">
        <v/>
      </c>
      <c r="N561">
        <f>COUNTA(books!C560:'books'!ZZ560)</f>
        <v>0</v>
      </c>
      <c r="O561" t="e">
        <f t="array" ref="O561">AVERAGE(rating!C560:'rating'!ZZ560)</f>
        <v>#DIV/0!</v>
      </c>
      <c r="P561">
        <f>SUM(COUNTIF(rating!C560:ZZ560, 10))</f>
        <v>0</v>
      </c>
      <c r="T561">
        <f>COUNTA(rating!C560:ZZ560)</f>
        <v>0</v>
      </c>
      <c r="U561">
        <f t="shared" si="8"/>
        <v>0</v>
      </c>
    </row>
    <row r="562" spans="8:21" x14ac:dyDescent="0.35">
      <c r="H562" s="7" t="str">
        <v/>
      </c>
      <c r="J562" t="str">
        <v/>
      </c>
      <c r="K562" t="str">
        <v/>
      </c>
      <c r="N562">
        <f>COUNTA(books!C561:'books'!ZZ561)</f>
        <v>0</v>
      </c>
      <c r="O562" t="e">
        <f t="array" ref="O562">AVERAGE(rating!C561:'rating'!ZZ561)</f>
        <v>#DIV/0!</v>
      </c>
      <c r="P562">
        <f>SUM(COUNTIF(rating!C561:ZZ561, 10))</f>
        <v>0</v>
      </c>
      <c r="T562">
        <f>COUNTA(rating!C561:ZZ561)</f>
        <v>0</v>
      </c>
      <c r="U562">
        <f t="shared" si="8"/>
        <v>0</v>
      </c>
    </row>
    <row r="563" spans="8:21" x14ac:dyDescent="0.35">
      <c r="H563" s="7" t="str">
        <v/>
      </c>
      <c r="J563" t="str">
        <v/>
      </c>
      <c r="K563" t="str">
        <v/>
      </c>
      <c r="N563">
        <f>COUNTA(books!C562:'books'!ZZ562)</f>
        <v>0</v>
      </c>
      <c r="O563" t="e">
        <f t="array" ref="O563">AVERAGE(rating!C562:'rating'!ZZ562)</f>
        <v>#DIV/0!</v>
      </c>
      <c r="P563">
        <f>SUM(COUNTIF(rating!C562:ZZ562, 10))</f>
        <v>0</v>
      </c>
      <c r="T563">
        <f>COUNTA(rating!C562:ZZ562)</f>
        <v>0</v>
      </c>
      <c r="U563">
        <f t="shared" si="8"/>
        <v>0</v>
      </c>
    </row>
    <row r="564" spans="8:21" x14ac:dyDescent="0.35">
      <c r="H564" s="7" t="str">
        <v/>
      </c>
      <c r="J564" t="str">
        <v/>
      </c>
      <c r="K564" t="str">
        <v/>
      </c>
      <c r="N564">
        <f>COUNTA(books!C563:'books'!ZZ563)</f>
        <v>0</v>
      </c>
      <c r="O564" t="e">
        <f t="array" ref="O564">AVERAGE(rating!C563:'rating'!ZZ563)</f>
        <v>#DIV/0!</v>
      </c>
      <c r="P564">
        <f>SUM(COUNTIF(rating!C563:ZZ563, 10))</f>
        <v>0</v>
      </c>
      <c r="T564">
        <f>COUNTA(rating!C563:ZZ563)</f>
        <v>0</v>
      </c>
      <c r="U564">
        <f t="shared" si="8"/>
        <v>0</v>
      </c>
    </row>
    <row r="565" spans="8:21" x14ac:dyDescent="0.35">
      <c r="H565" s="7" t="str">
        <v/>
      </c>
      <c r="J565" t="str">
        <v/>
      </c>
      <c r="K565" t="str">
        <v/>
      </c>
      <c r="N565">
        <f>COUNTA(books!C564:'books'!ZZ564)</f>
        <v>0</v>
      </c>
      <c r="O565" t="e">
        <f t="array" ref="O565">AVERAGE(rating!C564:'rating'!ZZ564)</f>
        <v>#DIV/0!</v>
      </c>
      <c r="P565">
        <f>SUM(COUNTIF(rating!C564:ZZ564, 10))</f>
        <v>0</v>
      </c>
      <c r="T565">
        <f>COUNTA(rating!C564:ZZ564)</f>
        <v>0</v>
      </c>
      <c r="U565">
        <f t="shared" si="8"/>
        <v>0</v>
      </c>
    </row>
    <row r="566" spans="8:21" x14ac:dyDescent="0.35">
      <c r="H566" s="7" t="str">
        <v/>
      </c>
      <c r="J566" t="str">
        <v/>
      </c>
      <c r="K566" t="str">
        <v/>
      </c>
      <c r="N566">
        <f>COUNTA(books!C565:'books'!ZZ565)</f>
        <v>0</v>
      </c>
      <c r="O566" t="e">
        <f t="array" ref="O566">AVERAGE(rating!C565:'rating'!ZZ565)</f>
        <v>#DIV/0!</v>
      </c>
      <c r="P566">
        <f>SUM(COUNTIF(rating!C565:ZZ565, 10))</f>
        <v>0</v>
      </c>
      <c r="T566">
        <f>COUNTA(rating!C565:ZZ565)</f>
        <v>0</v>
      </c>
      <c r="U566">
        <f t="shared" si="8"/>
        <v>0</v>
      </c>
    </row>
    <row r="567" spans="8:21" x14ac:dyDescent="0.35">
      <c r="H567" s="7" t="str">
        <v/>
      </c>
      <c r="J567" t="str">
        <v/>
      </c>
      <c r="K567" t="str">
        <v/>
      </c>
      <c r="N567">
        <f>COUNTA(books!C566:'books'!ZZ566)</f>
        <v>0</v>
      </c>
      <c r="O567" t="e">
        <f t="array" ref="O567">AVERAGE(rating!C566:'rating'!ZZ566)</f>
        <v>#DIV/0!</v>
      </c>
      <c r="P567">
        <f>SUM(COUNTIF(rating!C566:ZZ566, 10))</f>
        <v>0</v>
      </c>
      <c r="T567">
        <f>COUNTA(rating!C566:ZZ566)</f>
        <v>0</v>
      </c>
      <c r="U567">
        <f t="shared" si="8"/>
        <v>0</v>
      </c>
    </row>
    <row r="568" spans="8:21" x14ac:dyDescent="0.35">
      <c r="H568" s="7" t="str">
        <v/>
      </c>
      <c r="J568" t="str">
        <v/>
      </c>
      <c r="K568" t="str">
        <v/>
      </c>
      <c r="N568">
        <f>COUNTA(books!C567:'books'!ZZ567)</f>
        <v>0</v>
      </c>
      <c r="O568" t="e">
        <f t="array" ref="O568">AVERAGE(rating!C567:'rating'!ZZ567)</f>
        <v>#DIV/0!</v>
      </c>
      <c r="P568">
        <f>SUM(COUNTIF(rating!C567:ZZ567, 10))</f>
        <v>0</v>
      </c>
      <c r="T568">
        <f>COUNTA(rating!C567:ZZ567)</f>
        <v>0</v>
      </c>
      <c r="U568">
        <f t="shared" si="8"/>
        <v>0</v>
      </c>
    </row>
    <row r="569" spans="8:21" x14ac:dyDescent="0.35">
      <c r="H569" s="7" t="str">
        <v/>
      </c>
      <c r="J569" t="str">
        <v/>
      </c>
      <c r="K569" t="str">
        <v/>
      </c>
      <c r="N569">
        <f>COUNTA(books!C568:'books'!ZZ568)</f>
        <v>0</v>
      </c>
      <c r="O569" t="e">
        <f t="array" ref="O569">AVERAGE(rating!C568:'rating'!ZZ568)</f>
        <v>#DIV/0!</v>
      </c>
      <c r="P569">
        <f>SUM(COUNTIF(rating!C568:ZZ568, 10))</f>
        <v>0</v>
      </c>
      <c r="T569">
        <f>COUNTA(rating!C568:ZZ568)</f>
        <v>0</v>
      </c>
      <c r="U569">
        <f t="shared" si="8"/>
        <v>0</v>
      </c>
    </row>
    <row r="570" spans="8:21" x14ac:dyDescent="0.35">
      <c r="H570" s="7" t="str">
        <v/>
      </c>
      <c r="J570" t="str">
        <v/>
      </c>
      <c r="K570" t="str">
        <v/>
      </c>
      <c r="N570">
        <f>COUNTA(books!C569:'books'!ZZ569)</f>
        <v>0</v>
      </c>
      <c r="O570" t="e">
        <f t="array" ref="O570">AVERAGE(rating!C569:'rating'!ZZ569)</f>
        <v>#DIV/0!</v>
      </c>
      <c r="P570">
        <f>SUM(COUNTIF(rating!C569:ZZ569, 10))</f>
        <v>0</v>
      </c>
      <c r="T570">
        <f>COUNTA(rating!C569:ZZ569)</f>
        <v>0</v>
      </c>
      <c r="U570">
        <f t="shared" si="8"/>
        <v>0</v>
      </c>
    </row>
    <row r="571" spans="8:21" x14ac:dyDescent="0.35">
      <c r="H571" s="7" t="str">
        <v/>
      </c>
      <c r="J571" t="str">
        <v/>
      </c>
      <c r="K571" t="str">
        <v/>
      </c>
      <c r="N571">
        <f>COUNTA(books!C570:'books'!ZZ570)</f>
        <v>0</v>
      </c>
      <c r="O571" t="e">
        <f t="array" ref="O571">AVERAGE(rating!C570:'rating'!ZZ570)</f>
        <v>#DIV/0!</v>
      </c>
      <c r="P571">
        <f>SUM(COUNTIF(rating!C570:ZZ570, 10))</f>
        <v>0</v>
      </c>
      <c r="T571">
        <f>COUNTA(rating!C570:ZZ570)</f>
        <v>0</v>
      </c>
      <c r="U571">
        <f t="shared" si="8"/>
        <v>0</v>
      </c>
    </row>
    <row r="572" spans="8:21" x14ac:dyDescent="0.35">
      <c r="H572" s="7" t="str">
        <v/>
      </c>
      <c r="J572" t="str">
        <v/>
      </c>
      <c r="K572" t="str">
        <v/>
      </c>
      <c r="N572">
        <f>COUNTA(books!C571:'books'!ZZ571)</f>
        <v>0</v>
      </c>
      <c r="O572" t="e">
        <f t="array" ref="O572">AVERAGE(rating!C571:'rating'!ZZ571)</f>
        <v>#DIV/0!</v>
      </c>
      <c r="P572">
        <f>SUM(COUNTIF(rating!C571:ZZ571, 10))</f>
        <v>0</v>
      </c>
      <c r="T572">
        <f>COUNTA(rating!C571:ZZ571)</f>
        <v>0</v>
      </c>
      <c r="U572">
        <f t="shared" si="8"/>
        <v>0</v>
      </c>
    </row>
    <row r="573" spans="8:21" x14ac:dyDescent="0.35">
      <c r="H573" s="7" t="str">
        <v/>
      </c>
      <c r="J573" t="str">
        <v/>
      </c>
      <c r="K573" t="str">
        <v/>
      </c>
      <c r="N573">
        <f>COUNTA(books!C572:'books'!ZZ572)</f>
        <v>0</v>
      </c>
      <c r="O573" t="e">
        <f t="array" ref="O573">AVERAGE(rating!C572:'rating'!ZZ572)</f>
        <v>#DIV/0!</v>
      </c>
      <c r="P573">
        <f>SUM(COUNTIF(rating!C572:ZZ572, 10))</f>
        <v>0</v>
      </c>
      <c r="T573">
        <f>COUNTA(rating!C572:ZZ572)</f>
        <v>0</v>
      </c>
      <c r="U573">
        <f t="shared" si="8"/>
        <v>0</v>
      </c>
    </row>
    <row r="574" spans="8:21" x14ac:dyDescent="0.35">
      <c r="H574" s="7" t="str">
        <v/>
      </c>
      <c r="J574" t="str">
        <v/>
      </c>
      <c r="K574" t="str">
        <v/>
      </c>
      <c r="N574">
        <f>COUNTA(books!C573:'books'!ZZ573)</f>
        <v>0</v>
      </c>
      <c r="O574" t="e">
        <f t="array" ref="O574">AVERAGE(rating!C573:'rating'!ZZ573)</f>
        <v>#DIV/0!</v>
      </c>
      <c r="P574">
        <f>SUM(COUNTIF(rating!C573:ZZ573, 10))</f>
        <v>0</v>
      </c>
      <c r="T574">
        <f>COUNTA(rating!C573:ZZ573)</f>
        <v>0</v>
      </c>
      <c r="U574">
        <f t="shared" si="8"/>
        <v>0</v>
      </c>
    </row>
    <row r="575" spans="8:21" x14ac:dyDescent="0.35">
      <c r="H575" s="7" t="str">
        <v/>
      </c>
      <c r="J575" t="str">
        <v/>
      </c>
      <c r="K575" t="str">
        <v/>
      </c>
      <c r="N575">
        <f>COUNTA(books!C574:'books'!ZZ574)</f>
        <v>0</v>
      </c>
      <c r="O575" t="e">
        <f t="array" ref="O575">AVERAGE(rating!C574:'rating'!ZZ574)</f>
        <v>#DIV/0!</v>
      </c>
      <c r="P575">
        <f>SUM(COUNTIF(rating!C574:ZZ574, 10))</f>
        <v>0</v>
      </c>
      <c r="T575">
        <f>COUNTA(rating!C574:ZZ574)</f>
        <v>0</v>
      </c>
      <c r="U575">
        <f t="shared" si="8"/>
        <v>0</v>
      </c>
    </row>
    <row r="576" spans="8:21" x14ac:dyDescent="0.35">
      <c r="H576" s="7" t="str">
        <v/>
      </c>
      <c r="J576" t="str">
        <v/>
      </c>
      <c r="K576" t="str">
        <v/>
      </c>
      <c r="N576">
        <f>COUNTA(books!C575:'books'!ZZ575)</f>
        <v>0</v>
      </c>
      <c r="O576" t="e">
        <f t="array" ref="O576">AVERAGE(rating!C575:'rating'!ZZ575)</f>
        <v>#DIV/0!</v>
      </c>
      <c r="P576">
        <f>SUM(COUNTIF(rating!C575:ZZ575, 10))</f>
        <v>0</v>
      </c>
      <c r="T576">
        <f>COUNTA(rating!C575:ZZ575)</f>
        <v>0</v>
      </c>
      <c r="U576">
        <f t="shared" si="8"/>
        <v>0</v>
      </c>
    </row>
    <row r="577" spans="8:21" x14ac:dyDescent="0.35">
      <c r="H577" s="7" t="str">
        <v/>
      </c>
      <c r="J577" t="str">
        <v/>
      </c>
      <c r="K577" t="str">
        <v/>
      </c>
      <c r="N577">
        <f>COUNTA(books!C576:'books'!ZZ576)</f>
        <v>0</v>
      </c>
      <c r="O577" t="e">
        <f t="array" ref="O577">AVERAGE(rating!C576:'rating'!ZZ576)</f>
        <v>#DIV/0!</v>
      </c>
      <c r="P577">
        <f>SUM(COUNTIF(rating!C576:ZZ576, 10))</f>
        <v>0</v>
      </c>
      <c r="T577">
        <f>COUNTA(rating!C576:ZZ576)</f>
        <v>0</v>
      </c>
      <c r="U577">
        <f t="shared" si="8"/>
        <v>0</v>
      </c>
    </row>
    <row r="578" spans="8:21" x14ac:dyDescent="0.35">
      <c r="H578" s="7" t="str">
        <v/>
      </c>
      <c r="J578" t="str">
        <v/>
      </c>
      <c r="K578" t="str">
        <v/>
      </c>
      <c r="N578">
        <f>COUNTA(books!C577:'books'!ZZ577)</f>
        <v>0</v>
      </c>
      <c r="O578" t="e">
        <f t="array" ref="O578">AVERAGE(rating!C577:'rating'!ZZ577)</f>
        <v>#DIV/0!</v>
      </c>
      <c r="P578">
        <f>SUM(COUNTIF(rating!C577:ZZ577, 10))</f>
        <v>0</v>
      </c>
      <c r="T578">
        <f>COUNTA(rating!C577:ZZ577)</f>
        <v>0</v>
      </c>
      <c r="U578">
        <f t="shared" si="8"/>
        <v>0</v>
      </c>
    </row>
    <row r="579" spans="8:21" x14ac:dyDescent="0.35">
      <c r="H579" s="7" t="str">
        <v/>
      </c>
      <c r="J579" t="str">
        <v/>
      </c>
      <c r="K579" t="str">
        <v/>
      </c>
      <c r="N579">
        <f>COUNTA(books!C578:'books'!ZZ578)</f>
        <v>0</v>
      </c>
      <c r="O579" t="e">
        <f t="array" ref="O579">AVERAGE(rating!C578:'rating'!ZZ578)</f>
        <v>#DIV/0!</v>
      </c>
      <c r="P579">
        <f>SUM(COUNTIF(rating!C578:ZZ578, 10))</f>
        <v>0</v>
      </c>
      <c r="T579">
        <f>COUNTA(rating!C578:ZZ578)</f>
        <v>0</v>
      </c>
      <c r="U579">
        <f t="shared" ref="U579:U642" si="9">R579-T579</f>
        <v>0</v>
      </c>
    </row>
    <row r="580" spans="8:21" x14ac:dyDescent="0.35">
      <c r="H580" s="7" t="str">
        <v/>
      </c>
      <c r="J580" t="str">
        <v/>
      </c>
      <c r="K580" t="str">
        <v/>
      </c>
      <c r="N580">
        <f>COUNTA(books!C579:'books'!ZZ579)</f>
        <v>0</v>
      </c>
      <c r="O580" t="e">
        <f t="array" ref="O580">AVERAGE(rating!C579:'rating'!ZZ579)</f>
        <v>#DIV/0!</v>
      </c>
      <c r="P580">
        <f>SUM(COUNTIF(rating!C579:ZZ579, 10))</f>
        <v>0</v>
      </c>
      <c r="T580">
        <f>COUNTA(rating!C579:ZZ579)</f>
        <v>0</v>
      </c>
      <c r="U580">
        <f t="shared" si="9"/>
        <v>0</v>
      </c>
    </row>
    <row r="581" spans="8:21" x14ac:dyDescent="0.35">
      <c r="H581" s="7" t="str">
        <v/>
      </c>
      <c r="J581" t="str">
        <v/>
      </c>
      <c r="K581" t="str">
        <v/>
      </c>
      <c r="N581">
        <f>COUNTA(books!C580:'books'!ZZ580)</f>
        <v>0</v>
      </c>
      <c r="O581" t="e">
        <f t="array" ref="O581">AVERAGE(rating!C580:'rating'!ZZ580)</f>
        <v>#DIV/0!</v>
      </c>
      <c r="P581">
        <f>SUM(COUNTIF(rating!C580:ZZ580, 10))</f>
        <v>0</v>
      </c>
      <c r="T581">
        <f>COUNTA(rating!C580:ZZ580)</f>
        <v>0</v>
      </c>
      <c r="U581">
        <f t="shared" si="9"/>
        <v>0</v>
      </c>
    </row>
    <row r="582" spans="8:21" x14ac:dyDescent="0.35">
      <c r="H582" s="7" t="str">
        <v/>
      </c>
      <c r="J582" t="str">
        <v/>
      </c>
      <c r="K582" t="str">
        <v/>
      </c>
      <c r="N582">
        <f>COUNTA(books!C581:'books'!ZZ581)</f>
        <v>0</v>
      </c>
      <c r="O582" t="e">
        <f t="array" ref="O582">AVERAGE(rating!C581:'rating'!ZZ581)</f>
        <v>#DIV/0!</v>
      </c>
      <c r="P582">
        <f>SUM(COUNTIF(rating!C581:ZZ581, 10))</f>
        <v>0</v>
      </c>
      <c r="T582">
        <f>COUNTA(rating!C581:ZZ581)</f>
        <v>0</v>
      </c>
      <c r="U582">
        <f t="shared" si="9"/>
        <v>0</v>
      </c>
    </row>
    <row r="583" spans="8:21" x14ac:dyDescent="0.35">
      <c r="H583" s="7" t="str">
        <v/>
      </c>
      <c r="J583" t="str">
        <v/>
      </c>
      <c r="K583" t="str">
        <v/>
      </c>
      <c r="N583">
        <f>COUNTA(books!C582:'books'!ZZ582)</f>
        <v>0</v>
      </c>
      <c r="O583" t="e">
        <f t="array" ref="O583">AVERAGE(rating!C582:'rating'!ZZ582)</f>
        <v>#DIV/0!</v>
      </c>
      <c r="P583">
        <f>SUM(COUNTIF(rating!C582:ZZ582, 10))</f>
        <v>0</v>
      </c>
      <c r="T583">
        <f>COUNTA(rating!C582:ZZ582)</f>
        <v>0</v>
      </c>
      <c r="U583">
        <f t="shared" si="9"/>
        <v>0</v>
      </c>
    </row>
    <row r="584" spans="8:21" x14ac:dyDescent="0.35">
      <c r="H584" s="7" t="str">
        <v/>
      </c>
      <c r="J584" t="str">
        <v/>
      </c>
      <c r="K584" t="str">
        <v/>
      </c>
      <c r="N584">
        <f>COUNTA(books!C583:'books'!ZZ583)</f>
        <v>0</v>
      </c>
      <c r="O584" t="e">
        <f t="array" ref="O584">AVERAGE(rating!C583:'rating'!ZZ583)</f>
        <v>#DIV/0!</v>
      </c>
      <c r="P584">
        <f>SUM(COUNTIF(rating!C583:ZZ583, 10))</f>
        <v>0</v>
      </c>
      <c r="T584">
        <f>COUNTA(rating!C583:ZZ583)</f>
        <v>0</v>
      </c>
      <c r="U584">
        <f t="shared" si="9"/>
        <v>0</v>
      </c>
    </row>
    <row r="585" spans="8:21" x14ac:dyDescent="0.35">
      <c r="H585" s="7" t="str">
        <v/>
      </c>
      <c r="J585" t="str">
        <v/>
      </c>
      <c r="K585" t="str">
        <v/>
      </c>
      <c r="N585">
        <f>COUNTA(books!C584:'books'!ZZ584)</f>
        <v>0</v>
      </c>
      <c r="O585" t="e">
        <f t="array" ref="O585">AVERAGE(rating!C584:'rating'!ZZ584)</f>
        <v>#DIV/0!</v>
      </c>
      <c r="P585">
        <f>SUM(COUNTIF(rating!C584:ZZ584, 10))</f>
        <v>0</v>
      </c>
      <c r="T585">
        <f>COUNTA(rating!C584:ZZ584)</f>
        <v>0</v>
      </c>
      <c r="U585">
        <f t="shared" si="9"/>
        <v>0</v>
      </c>
    </row>
    <row r="586" spans="8:21" x14ac:dyDescent="0.35">
      <c r="H586" s="7" t="str">
        <v/>
      </c>
      <c r="J586" t="str">
        <v/>
      </c>
      <c r="K586" t="str">
        <v/>
      </c>
      <c r="N586">
        <f>COUNTA(books!C585:'books'!ZZ585)</f>
        <v>0</v>
      </c>
      <c r="O586" t="e">
        <f t="array" ref="O586">AVERAGE(rating!C585:'rating'!ZZ585)</f>
        <v>#DIV/0!</v>
      </c>
      <c r="P586">
        <f>SUM(COUNTIF(rating!C585:ZZ585, 10))</f>
        <v>0</v>
      </c>
      <c r="T586">
        <f>COUNTA(rating!C585:ZZ585)</f>
        <v>0</v>
      </c>
      <c r="U586">
        <f t="shared" si="9"/>
        <v>0</v>
      </c>
    </row>
    <row r="587" spans="8:21" x14ac:dyDescent="0.35">
      <c r="H587" s="7" t="str">
        <v/>
      </c>
      <c r="J587" t="str">
        <v/>
      </c>
      <c r="K587" t="str">
        <v/>
      </c>
      <c r="N587">
        <f>COUNTA(books!C586:'books'!ZZ586)</f>
        <v>0</v>
      </c>
      <c r="O587" t="e">
        <f t="array" ref="O587">AVERAGE(rating!C586:'rating'!ZZ586)</f>
        <v>#DIV/0!</v>
      </c>
      <c r="P587">
        <f>SUM(COUNTIF(rating!C586:ZZ586, 10))</f>
        <v>0</v>
      </c>
      <c r="T587">
        <f>COUNTA(rating!C586:ZZ586)</f>
        <v>0</v>
      </c>
      <c r="U587">
        <f t="shared" si="9"/>
        <v>0</v>
      </c>
    </row>
    <row r="588" spans="8:21" x14ac:dyDescent="0.35">
      <c r="H588" s="7" t="str">
        <v/>
      </c>
      <c r="J588" t="str">
        <v/>
      </c>
      <c r="K588" t="str">
        <v/>
      </c>
      <c r="N588">
        <f>COUNTA(books!C587:'books'!ZZ587)</f>
        <v>0</v>
      </c>
      <c r="O588" t="e">
        <f t="array" ref="O588">AVERAGE(rating!C587:'rating'!ZZ587)</f>
        <v>#DIV/0!</v>
      </c>
      <c r="P588">
        <f>SUM(COUNTIF(rating!C587:ZZ587, 10))</f>
        <v>0</v>
      </c>
      <c r="T588">
        <f>COUNTA(rating!C587:ZZ587)</f>
        <v>0</v>
      </c>
      <c r="U588">
        <f t="shared" si="9"/>
        <v>0</v>
      </c>
    </row>
    <row r="589" spans="8:21" x14ac:dyDescent="0.35">
      <c r="H589" s="7" t="str">
        <v/>
      </c>
      <c r="J589" t="str">
        <v/>
      </c>
      <c r="K589" t="str">
        <v/>
      </c>
      <c r="N589">
        <f>COUNTA(books!C588:'books'!ZZ588)</f>
        <v>0</v>
      </c>
      <c r="O589" t="e">
        <f t="array" ref="O589">AVERAGE(rating!C588:'rating'!ZZ588)</f>
        <v>#DIV/0!</v>
      </c>
      <c r="P589">
        <f>SUM(COUNTIF(rating!C588:ZZ588, 10))</f>
        <v>0</v>
      </c>
      <c r="T589">
        <f>COUNTA(rating!C588:ZZ588)</f>
        <v>0</v>
      </c>
      <c r="U589">
        <f t="shared" si="9"/>
        <v>0</v>
      </c>
    </row>
    <row r="590" spans="8:21" x14ac:dyDescent="0.35">
      <c r="H590" s="7" t="str">
        <v/>
      </c>
      <c r="J590" t="str">
        <v/>
      </c>
      <c r="K590" t="str">
        <v/>
      </c>
      <c r="N590">
        <f>COUNTA(books!C589:'books'!ZZ589)</f>
        <v>0</v>
      </c>
      <c r="O590" t="e">
        <f t="array" ref="O590">AVERAGE(rating!C589:'rating'!ZZ589)</f>
        <v>#DIV/0!</v>
      </c>
      <c r="P590">
        <f>SUM(COUNTIF(rating!C589:ZZ589, 10))</f>
        <v>0</v>
      </c>
      <c r="T590">
        <f>COUNTA(rating!C589:ZZ589)</f>
        <v>0</v>
      </c>
      <c r="U590">
        <f t="shared" si="9"/>
        <v>0</v>
      </c>
    </row>
    <row r="591" spans="8:21" x14ac:dyDescent="0.35">
      <c r="H591" s="7" t="str">
        <v/>
      </c>
      <c r="J591" t="str">
        <v/>
      </c>
      <c r="K591" t="str">
        <v/>
      </c>
      <c r="N591">
        <f>COUNTA(books!C590:'books'!ZZ590)</f>
        <v>0</v>
      </c>
      <c r="O591" t="e">
        <f t="array" ref="O591">AVERAGE(rating!C590:'rating'!ZZ590)</f>
        <v>#DIV/0!</v>
      </c>
      <c r="P591">
        <f>SUM(COUNTIF(rating!C590:ZZ590, 10))</f>
        <v>0</v>
      </c>
      <c r="U591">
        <f t="shared" si="9"/>
        <v>0</v>
      </c>
    </row>
    <row r="592" spans="8:21" x14ac:dyDescent="0.35">
      <c r="H592" s="7" t="str">
        <v/>
      </c>
      <c r="J592" t="str">
        <v/>
      </c>
      <c r="K592" t="str">
        <v/>
      </c>
      <c r="N592">
        <f>COUNTA(books!C591:'books'!ZZ591)</f>
        <v>0</v>
      </c>
      <c r="O592" t="e">
        <f t="array" ref="O592">AVERAGE(rating!C591:'rating'!ZZ591)</f>
        <v>#DIV/0!</v>
      </c>
      <c r="P592">
        <f>SUM(COUNTIF(rating!C591:ZZ591, 10))</f>
        <v>0</v>
      </c>
      <c r="U592">
        <f t="shared" si="9"/>
        <v>0</v>
      </c>
    </row>
    <row r="593" spans="8:21" x14ac:dyDescent="0.35">
      <c r="H593" s="7" t="str">
        <v/>
      </c>
      <c r="J593" t="str">
        <v/>
      </c>
      <c r="K593" t="str">
        <v/>
      </c>
      <c r="N593">
        <f>COUNTA(books!C592:'books'!ZZ592)</f>
        <v>0</v>
      </c>
      <c r="O593" t="e">
        <f t="array" ref="O593">AVERAGE(rating!C592:'rating'!ZZ592)</f>
        <v>#DIV/0!</v>
      </c>
      <c r="P593">
        <f>SUM(COUNTIF(rating!C592:ZZ592, 10))</f>
        <v>0</v>
      </c>
      <c r="U593">
        <f t="shared" si="9"/>
        <v>0</v>
      </c>
    </row>
    <row r="594" spans="8:21" x14ac:dyDescent="0.35">
      <c r="H594" s="7" t="str">
        <v/>
      </c>
      <c r="J594" t="str">
        <v/>
      </c>
      <c r="K594" t="str">
        <v/>
      </c>
      <c r="N594">
        <f>COUNTA(books!C593:'books'!ZZ593)</f>
        <v>0</v>
      </c>
      <c r="O594" t="e">
        <f t="array" ref="O594">AVERAGE(rating!C593:'rating'!ZZ593)</f>
        <v>#DIV/0!</v>
      </c>
      <c r="P594">
        <f>SUM(COUNTIF(rating!C593:ZZ593, 10))</f>
        <v>0</v>
      </c>
      <c r="U594">
        <f t="shared" si="9"/>
        <v>0</v>
      </c>
    </row>
    <row r="595" spans="8:21" x14ac:dyDescent="0.35">
      <c r="H595" s="7" t="str">
        <v/>
      </c>
      <c r="J595" t="str">
        <v/>
      </c>
      <c r="K595" t="str">
        <v/>
      </c>
      <c r="N595">
        <f>COUNTA(books!C594:'books'!ZZ594)</f>
        <v>0</v>
      </c>
      <c r="O595" t="e">
        <f t="array" ref="O595">AVERAGE(rating!C594:'rating'!ZZ594)</f>
        <v>#DIV/0!</v>
      </c>
      <c r="P595">
        <f>SUM(COUNTIF(rating!C594:ZZ594, 10))</f>
        <v>0</v>
      </c>
      <c r="U595">
        <f t="shared" si="9"/>
        <v>0</v>
      </c>
    </row>
    <row r="596" spans="8:21" x14ac:dyDescent="0.35">
      <c r="H596" s="7" t="str">
        <v/>
      </c>
      <c r="J596" t="str">
        <v/>
      </c>
      <c r="K596" t="str">
        <v/>
      </c>
      <c r="N596">
        <f>COUNTA(books!C595:'books'!ZZ595)</f>
        <v>0</v>
      </c>
      <c r="O596" t="e">
        <f t="array" ref="O596">AVERAGE(rating!C595:'rating'!ZZ595)</f>
        <v>#DIV/0!</v>
      </c>
      <c r="P596">
        <f>SUM(COUNTIF(rating!C595:ZZ595, 10))</f>
        <v>0</v>
      </c>
      <c r="U596">
        <f t="shared" si="9"/>
        <v>0</v>
      </c>
    </row>
    <row r="597" spans="8:21" x14ac:dyDescent="0.35">
      <c r="H597" s="7" t="str">
        <v/>
      </c>
      <c r="J597" t="str">
        <v/>
      </c>
      <c r="K597" t="str">
        <v/>
      </c>
      <c r="N597">
        <f>COUNTA(books!C596:'books'!ZZ596)</f>
        <v>0</v>
      </c>
      <c r="O597" t="e">
        <f t="array" ref="O597">AVERAGE(rating!C596:'rating'!ZZ596)</f>
        <v>#DIV/0!</v>
      </c>
      <c r="P597">
        <f>SUM(COUNTIF(rating!C596:ZZ596, 10))</f>
        <v>0</v>
      </c>
      <c r="U597">
        <f t="shared" si="9"/>
        <v>0</v>
      </c>
    </row>
    <row r="598" spans="8:21" x14ac:dyDescent="0.35">
      <c r="H598" s="7" t="str">
        <v/>
      </c>
      <c r="J598" t="str">
        <v/>
      </c>
      <c r="N598">
        <f>COUNTA(books!C597:'books'!ZZ597)</f>
        <v>0</v>
      </c>
      <c r="O598" t="e">
        <f t="array" ref="O598">AVERAGE(rating!C597:'rating'!ZZ597)</f>
        <v>#DIV/0!</v>
      </c>
      <c r="P598">
        <f>SUM(COUNTIF(rating!C597:ZZ597, 10))</f>
        <v>0</v>
      </c>
      <c r="U598">
        <f t="shared" si="9"/>
        <v>0</v>
      </c>
    </row>
    <row r="599" spans="8:21" x14ac:dyDescent="0.35">
      <c r="H599" s="7" t="str">
        <v/>
      </c>
      <c r="J599" t="str">
        <v/>
      </c>
      <c r="N599">
        <f>COUNTA(books!C598:'books'!ZZ598)</f>
        <v>0</v>
      </c>
      <c r="O599" t="e">
        <f t="array" ref="O599">AVERAGE(rating!C598:'rating'!ZZ598)</f>
        <v>#DIV/0!</v>
      </c>
      <c r="P599">
        <f>SUM(COUNTIF(rating!C598:ZZ598, 10))</f>
        <v>0</v>
      </c>
      <c r="U599">
        <f t="shared" si="9"/>
        <v>0</v>
      </c>
    </row>
    <row r="600" spans="8:21" x14ac:dyDescent="0.35">
      <c r="H600" s="7" t="str">
        <v/>
      </c>
      <c r="J600" t="str">
        <v/>
      </c>
      <c r="N600">
        <f>COUNTA(books!C599:'books'!ZZ599)</f>
        <v>0</v>
      </c>
      <c r="O600" t="e">
        <f t="array" ref="O600">AVERAGE(rating!C599:'rating'!ZZ599)</f>
        <v>#DIV/0!</v>
      </c>
      <c r="P600">
        <f>SUM(COUNTIF(rating!C599:ZZ599, 10))</f>
        <v>0</v>
      </c>
      <c r="U600">
        <f t="shared" si="9"/>
        <v>0</v>
      </c>
    </row>
    <row r="601" spans="8:21" x14ac:dyDescent="0.35">
      <c r="N601">
        <f>COUNTA(books!C600:'books'!ZZ600)</f>
        <v>0</v>
      </c>
      <c r="O601" t="e">
        <f t="array" ref="O601">AVERAGE(rating!C600:'rating'!ZZ600)</f>
        <v>#DIV/0!</v>
      </c>
      <c r="P601">
        <f>SUM(COUNTIF(rating!C600:ZZ600, 10))</f>
        <v>0</v>
      </c>
      <c r="U601">
        <f t="shared" si="9"/>
        <v>0</v>
      </c>
    </row>
    <row r="602" spans="8:21" x14ac:dyDescent="0.35">
      <c r="U602">
        <f t="shared" si="9"/>
        <v>0</v>
      </c>
    </row>
    <row r="603" spans="8:21" x14ac:dyDescent="0.35">
      <c r="U603">
        <f t="shared" si="9"/>
        <v>0</v>
      </c>
    </row>
    <row r="604" spans="8:21" x14ac:dyDescent="0.35">
      <c r="U604">
        <f t="shared" si="9"/>
        <v>0</v>
      </c>
    </row>
    <row r="605" spans="8:21" x14ac:dyDescent="0.35">
      <c r="U605">
        <f t="shared" si="9"/>
        <v>0</v>
      </c>
    </row>
    <row r="606" spans="8:21" x14ac:dyDescent="0.35">
      <c r="U606">
        <f t="shared" si="9"/>
        <v>0</v>
      </c>
    </row>
    <row r="607" spans="8:21" x14ac:dyDescent="0.35">
      <c r="U607">
        <f t="shared" si="9"/>
        <v>0</v>
      </c>
    </row>
    <row r="608" spans="8:21" x14ac:dyDescent="0.35">
      <c r="U608">
        <f t="shared" si="9"/>
        <v>0</v>
      </c>
    </row>
    <row r="609" spans="21:21" x14ac:dyDescent="0.35">
      <c r="U609">
        <f t="shared" si="9"/>
        <v>0</v>
      </c>
    </row>
    <row r="610" spans="21:21" x14ac:dyDescent="0.35">
      <c r="U610">
        <f t="shared" si="9"/>
        <v>0</v>
      </c>
    </row>
    <row r="611" spans="21:21" x14ac:dyDescent="0.35">
      <c r="U611">
        <f t="shared" si="9"/>
        <v>0</v>
      </c>
    </row>
    <row r="612" spans="21:21" x14ac:dyDescent="0.35">
      <c r="U612">
        <f t="shared" si="9"/>
        <v>0</v>
      </c>
    </row>
    <row r="613" spans="21:21" x14ac:dyDescent="0.35">
      <c r="U613">
        <f t="shared" si="9"/>
        <v>0</v>
      </c>
    </row>
    <row r="614" spans="21:21" x14ac:dyDescent="0.35">
      <c r="U614">
        <f t="shared" si="9"/>
        <v>0</v>
      </c>
    </row>
    <row r="615" spans="21:21" x14ac:dyDescent="0.35">
      <c r="U615">
        <f t="shared" si="9"/>
        <v>0</v>
      </c>
    </row>
    <row r="616" spans="21:21" x14ac:dyDescent="0.35">
      <c r="U616">
        <f t="shared" si="9"/>
        <v>0</v>
      </c>
    </row>
    <row r="617" spans="21:21" x14ac:dyDescent="0.35">
      <c r="U617">
        <f t="shared" si="9"/>
        <v>0</v>
      </c>
    </row>
    <row r="618" spans="21:21" x14ac:dyDescent="0.35">
      <c r="U618">
        <f t="shared" si="9"/>
        <v>0</v>
      </c>
    </row>
    <row r="619" spans="21:21" x14ac:dyDescent="0.35">
      <c r="U619">
        <f t="shared" si="9"/>
        <v>0</v>
      </c>
    </row>
    <row r="620" spans="21:21" x14ac:dyDescent="0.35">
      <c r="U620">
        <f t="shared" si="9"/>
        <v>0</v>
      </c>
    </row>
    <row r="621" spans="21:21" x14ac:dyDescent="0.35">
      <c r="U621">
        <f t="shared" si="9"/>
        <v>0</v>
      </c>
    </row>
    <row r="622" spans="21:21" x14ac:dyDescent="0.35">
      <c r="U622">
        <f t="shared" si="9"/>
        <v>0</v>
      </c>
    </row>
    <row r="623" spans="21:21" x14ac:dyDescent="0.35">
      <c r="U623">
        <f t="shared" si="9"/>
        <v>0</v>
      </c>
    </row>
    <row r="624" spans="21:21" x14ac:dyDescent="0.35">
      <c r="U624">
        <f t="shared" si="9"/>
        <v>0</v>
      </c>
    </row>
    <row r="625" spans="21:21" x14ac:dyDescent="0.35">
      <c r="U625">
        <f t="shared" si="9"/>
        <v>0</v>
      </c>
    </row>
    <row r="626" spans="21:21" x14ac:dyDescent="0.35">
      <c r="U626">
        <f t="shared" si="9"/>
        <v>0</v>
      </c>
    </row>
    <row r="627" spans="21:21" x14ac:dyDescent="0.35">
      <c r="U627">
        <f t="shared" si="9"/>
        <v>0</v>
      </c>
    </row>
    <row r="628" spans="21:21" x14ac:dyDescent="0.35">
      <c r="U628">
        <f t="shared" si="9"/>
        <v>0</v>
      </c>
    </row>
    <row r="629" spans="21:21" x14ac:dyDescent="0.35">
      <c r="U629">
        <f t="shared" si="9"/>
        <v>0</v>
      </c>
    </row>
    <row r="630" spans="21:21" x14ac:dyDescent="0.35">
      <c r="U630">
        <f t="shared" si="9"/>
        <v>0</v>
      </c>
    </row>
    <row r="631" spans="21:21" x14ac:dyDescent="0.35">
      <c r="U631">
        <f t="shared" si="9"/>
        <v>0</v>
      </c>
    </row>
    <row r="632" spans="21:21" x14ac:dyDescent="0.35">
      <c r="U632">
        <f t="shared" si="9"/>
        <v>0</v>
      </c>
    </row>
    <row r="633" spans="21:21" x14ac:dyDescent="0.35">
      <c r="U633">
        <f t="shared" si="9"/>
        <v>0</v>
      </c>
    </row>
    <row r="634" spans="21:21" x14ac:dyDescent="0.35">
      <c r="U634">
        <f t="shared" si="9"/>
        <v>0</v>
      </c>
    </row>
    <row r="635" spans="21:21" x14ac:dyDescent="0.35">
      <c r="U635">
        <f t="shared" si="9"/>
        <v>0</v>
      </c>
    </row>
    <row r="636" spans="21:21" x14ac:dyDescent="0.35">
      <c r="U636">
        <f t="shared" si="9"/>
        <v>0</v>
      </c>
    </row>
    <row r="637" spans="21:21" x14ac:dyDescent="0.35">
      <c r="U637">
        <f t="shared" si="9"/>
        <v>0</v>
      </c>
    </row>
    <row r="638" spans="21:21" x14ac:dyDescent="0.35">
      <c r="U638">
        <f t="shared" si="9"/>
        <v>0</v>
      </c>
    </row>
    <row r="639" spans="21:21" x14ac:dyDescent="0.35">
      <c r="U639">
        <f t="shared" si="9"/>
        <v>0</v>
      </c>
    </row>
    <row r="640" spans="21:21" x14ac:dyDescent="0.35">
      <c r="U640">
        <f t="shared" si="9"/>
        <v>0</v>
      </c>
    </row>
    <row r="641" spans="21:21" x14ac:dyDescent="0.35">
      <c r="U641">
        <f t="shared" si="9"/>
        <v>0</v>
      </c>
    </row>
    <row r="642" spans="21:21" x14ac:dyDescent="0.35">
      <c r="U642">
        <f t="shared" si="9"/>
        <v>0</v>
      </c>
    </row>
    <row r="643" spans="21:21" x14ac:dyDescent="0.35">
      <c r="U643">
        <f t="shared" ref="U643:U686" si="10">R643-T643</f>
        <v>0</v>
      </c>
    </row>
    <row r="644" spans="21:21" x14ac:dyDescent="0.35">
      <c r="U644">
        <f t="shared" si="10"/>
        <v>0</v>
      </c>
    </row>
    <row r="645" spans="21:21" x14ac:dyDescent="0.35">
      <c r="U645">
        <f t="shared" si="10"/>
        <v>0</v>
      </c>
    </row>
    <row r="646" spans="21:21" x14ac:dyDescent="0.35">
      <c r="U646">
        <f t="shared" si="10"/>
        <v>0</v>
      </c>
    </row>
    <row r="647" spans="21:21" x14ac:dyDescent="0.35">
      <c r="U647">
        <f t="shared" si="10"/>
        <v>0</v>
      </c>
    </row>
    <row r="648" spans="21:21" x14ac:dyDescent="0.35">
      <c r="U648">
        <f t="shared" si="10"/>
        <v>0</v>
      </c>
    </row>
    <row r="649" spans="21:21" x14ac:dyDescent="0.35">
      <c r="U649">
        <f t="shared" si="10"/>
        <v>0</v>
      </c>
    </row>
    <row r="650" spans="21:21" x14ac:dyDescent="0.35">
      <c r="U650">
        <f t="shared" si="10"/>
        <v>0</v>
      </c>
    </row>
    <row r="651" spans="21:21" x14ac:dyDescent="0.35">
      <c r="U651">
        <f t="shared" si="10"/>
        <v>0</v>
      </c>
    </row>
    <row r="652" spans="21:21" x14ac:dyDescent="0.35">
      <c r="U652">
        <f t="shared" si="10"/>
        <v>0</v>
      </c>
    </row>
    <row r="653" spans="21:21" x14ac:dyDescent="0.35">
      <c r="U653">
        <f t="shared" si="10"/>
        <v>0</v>
      </c>
    </row>
    <row r="654" spans="21:21" x14ac:dyDescent="0.35">
      <c r="U654">
        <f t="shared" si="10"/>
        <v>0</v>
      </c>
    </row>
    <row r="655" spans="21:21" x14ac:dyDescent="0.35">
      <c r="U655">
        <f t="shared" si="10"/>
        <v>0</v>
      </c>
    </row>
    <row r="656" spans="21:21" x14ac:dyDescent="0.35">
      <c r="U656">
        <f t="shared" si="10"/>
        <v>0</v>
      </c>
    </row>
    <row r="657" spans="21:21" x14ac:dyDescent="0.35">
      <c r="U657">
        <f t="shared" si="10"/>
        <v>0</v>
      </c>
    </row>
    <row r="658" spans="21:21" x14ac:dyDescent="0.35">
      <c r="U658">
        <f t="shared" si="10"/>
        <v>0</v>
      </c>
    </row>
    <row r="659" spans="21:21" x14ac:dyDescent="0.35">
      <c r="U659">
        <f t="shared" si="10"/>
        <v>0</v>
      </c>
    </row>
    <row r="660" spans="21:21" x14ac:dyDescent="0.35">
      <c r="U660">
        <f t="shared" si="10"/>
        <v>0</v>
      </c>
    </row>
    <row r="661" spans="21:21" x14ac:dyDescent="0.35">
      <c r="U661">
        <f t="shared" si="10"/>
        <v>0</v>
      </c>
    </row>
    <row r="662" spans="21:21" x14ac:dyDescent="0.35">
      <c r="U662">
        <f t="shared" si="10"/>
        <v>0</v>
      </c>
    </row>
    <row r="663" spans="21:21" x14ac:dyDescent="0.35">
      <c r="U663">
        <f t="shared" si="10"/>
        <v>0</v>
      </c>
    </row>
    <row r="664" spans="21:21" x14ac:dyDescent="0.35">
      <c r="U664">
        <f t="shared" si="10"/>
        <v>0</v>
      </c>
    </row>
    <row r="665" spans="21:21" x14ac:dyDescent="0.35">
      <c r="U665">
        <f t="shared" si="10"/>
        <v>0</v>
      </c>
    </row>
    <row r="666" spans="21:21" x14ac:dyDescent="0.35">
      <c r="U666">
        <f t="shared" si="10"/>
        <v>0</v>
      </c>
    </row>
    <row r="667" spans="21:21" x14ac:dyDescent="0.35">
      <c r="U667">
        <f t="shared" si="10"/>
        <v>0</v>
      </c>
    </row>
    <row r="668" spans="21:21" x14ac:dyDescent="0.35">
      <c r="U668">
        <f t="shared" si="10"/>
        <v>0</v>
      </c>
    </row>
    <row r="669" spans="21:21" x14ac:dyDescent="0.35">
      <c r="U669">
        <f t="shared" si="10"/>
        <v>0</v>
      </c>
    </row>
    <row r="670" spans="21:21" x14ac:dyDescent="0.35">
      <c r="U670">
        <f t="shared" si="10"/>
        <v>0</v>
      </c>
    </row>
    <row r="671" spans="21:21" x14ac:dyDescent="0.35">
      <c r="U671">
        <f t="shared" si="10"/>
        <v>0</v>
      </c>
    </row>
    <row r="672" spans="21:21" x14ac:dyDescent="0.35">
      <c r="U672">
        <f t="shared" si="10"/>
        <v>0</v>
      </c>
    </row>
    <row r="673" spans="21:21" x14ac:dyDescent="0.35">
      <c r="U673">
        <f t="shared" si="10"/>
        <v>0</v>
      </c>
    </row>
    <row r="674" spans="21:21" x14ac:dyDescent="0.35">
      <c r="U674">
        <f t="shared" si="10"/>
        <v>0</v>
      </c>
    </row>
    <row r="675" spans="21:21" x14ac:dyDescent="0.35">
      <c r="U675">
        <f t="shared" si="10"/>
        <v>0</v>
      </c>
    </row>
    <row r="676" spans="21:21" x14ac:dyDescent="0.35">
      <c r="U676">
        <f t="shared" si="10"/>
        <v>0</v>
      </c>
    </row>
    <row r="677" spans="21:21" x14ac:dyDescent="0.35">
      <c r="U677">
        <f t="shared" si="10"/>
        <v>0</v>
      </c>
    </row>
    <row r="678" spans="21:21" x14ac:dyDescent="0.35">
      <c r="U678">
        <f t="shared" si="10"/>
        <v>0</v>
      </c>
    </row>
    <row r="679" spans="21:21" x14ac:dyDescent="0.35">
      <c r="U679">
        <f t="shared" si="10"/>
        <v>0</v>
      </c>
    </row>
    <row r="680" spans="21:21" x14ac:dyDescent="0.35">
      <c r="U680">
        <f t="shared" si="10"/>
        <v>0</v>
      </c>
    </row>
    <row r="681" spans="21:21" x14ac:dyDescent="0.35">
      <c r="U681">
        <f t="shared" si="10"/>
        <v>0</v>
      </c>
    </row>
    <row r="682" spans="21:21" x14ac:dyDescent="0.35">
      <c r="U682">
        <f t="shared" si="10"/>
        <v>0</v>
      </c>
    </row>
    <row r="683" spans="21:21" x14ac:dyDescent="0.35">
      <c r="U683">
        <f t="shared" si="10"/>
        <v>0</v>
      </c>
    </row>
    <row r="684" spans="21:21" x14ac:dyDescent="0.35">
      <c r="U684">
        <f t="shared" si="10"/>
        <v>0</v>
      </c>
    </row>
    <row r="685" spans="21:21" x14ac:dyDescent="0.35">
      <c r="U685">
        <f t="shared" si="10"/>
        <v>0</v>
      </c>
    </row>
    <row r="686" spans="21:21" x14ac:dyDescent="0.35">
      <c r="U686">
        <f t="shared" si="10"/>
        <v>0</v>
      </c>
    </row>
  </sheetData>
  <sortState xmlns:xlrd2="http://schemas.microsoft.com/office/spreadsheetml/2017/richdata2" ref="E2:F26">
    <sortCondition ref="E2:E26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62912-D54B-B747-B329-E962872FA1D7}">
  <sheetPr codeName="Sheet3"/>
  <dimension ref="A1:BI596"/>
  <sheetViews>
    <sheetView zoomScaleNormal="60" zoomScaleSheetLayoutView="100" workbookViewId="0">
      <selection activeCell="W5" sqref="W5"/>
    </sheetView>
  </sheetViews>
  <sheetFormatPr defaultRowHeight="14.5" x14ac:dyDescent="0.35"/>
  <cols>
    <col min="2" max="2" width="43.26953125" hidden="1" customWidth="1"/>
  </cols>
  <sheetData>
    <row r="1" spans="1:26" x14ac:dyDescent="0.35">
      <c r="A1" t="str" cm="1">
        <f t="array" ref="A1:A417">_xlfn.UNIQUE(books!B1:B594)</f>
        <v>Madeline L'Engle</v>
      </c>
      <c r="B1" t="str">
        <f>books!B1</f>
        <v>Madeline L'Engle</v>
      </c>
      <c r="C1">
        <v>2005</v>
      </c>
      <c r="D1">
        <v>2007</v>
      </c>
      <c r="E1">
        <v>2007</v>
      </c>
      <c r="F1">
        <v>2011</v>
      </c>
      <c r="G1">
        <v>2019</v>
      </c>
      <c r="H1">
        <v>2029</v>
      </c>
      <c r="I1">
        <v>2019</v>
      </c>
    </row>
    <row r="2" spans="1:26" x14ac:dyDescent="0.35">
      <c r="A2" t="str">
        <v>Christopher Paolini</v>
      </c>
      <c r="B2" t="str">
        <f>books!B2</f>
        <v>Christopher Paolini</v>
      </c>
      <c r="C2">
        <v>2007</v>
      </c>
      <c r="D2">
        <v>2007</v>
      </c>
      <c r="E2">
        <v>2008</v>
      </c>
      <c r="F2">
        <v>2011</v>
      </c>
    </row>
    <row r="3" spans="1:26" x14ac:dyDescent="0.35">
      <c r="A3" t="str">
        <v>Rick Riordan</v>
      </c>
      <c r="B3" t="str">
        <f>books!B3</f>
        <v>Rick Riordan</v>
      </c>
      <c r="C3">
        <v>2006</v>
      </c>
      <c r="D3">
        <v>2006</v>
      </c>
      <c r="E3">
        <v>2007</v>
      </c>
      <c r="F3">
        <v>2008</v>
      </c>
      <c r="G3">
        <v>2009</v>
      </c>
      <c r="H3">
        <v>2013</v>
      </c>
      <c r="I3">
        <v>2010</v>
      </c>
      <c r="J3">
        <v>2011</v>
      </c>
      <c r="K3">
        <v>2012</v>
      </c>
      <c r="L3">
        <v>2013</v>
      </c>
      <c r="M3">
        <v>2014</v>
      </c>
      <c r="N3">
        <v>2016</v>
      </c>
      <c r="O3">
        <v>2017</v>
      </c>
      <c r="P3">
        <v>2011</v>
      </c>
      <c r="Q3">
        <v>2011</v>
      </c>
      <c r="R3">
        <v>2012</v>
      </c>
      <c r="S3">
        <v>2015</v>
      </c>
      <c r="T3">
        <v>2016</v>
      </c>
      <c r="U3">
        <v>2017</v>
      </c>
    </row>
    <row r="4" spans="1:26" x14ac:dyDescent="0.35">
      <c r="A4" t="str">
        <v>Brian Jaques</v>
      </c>
      <c r="B4" t="str">
        <f>books!B4</f>
        <v>Brian Jaques</v>
      </c>
      <c r="C4">
        <v>2010</v>
      </c>
      <c r="D4">
        <v>2010</v>
      </c>
      <c r="E4">
        <v>2010</v>
      </c>
      <c r="F4">
        <v>2010</v>
      </c>
      <c r="G4">
        <v>2010</v>
      </c>
      <c r="H4">
        <v>2010</v>
      </c>
      <c r="I4">
        <v>2010</v>
      </c>
      <c r="J4">
        <v>2010</v>
      </c>
      <c r="K4">
        <v>2010</v>
      </c>
      <c r="L4">
        <v>2010</v>
      </c>
      <c r="M4">
        <v>2010</v>
      </c>
      <c r="N4">
        <v>2010</v>
      </c>
      <c r="O4">
        <v>2010</v>
      </c>
      <c r="P4">
        <v>2010</v>
      </c>
      <c r="Q4">
        <v>2010</v>
      </c>
      <c r="R4">
        <v>2010</v>
      </c>
      <c r="S4">
        <v>2010</v>
      </c>
      <c r="T4">
        <v>2010</v>
      </c>
      <c r="U4">
        <v>2010</v>
      </c>
      <c r="V4">
        <v>2010</v>
      </c>
      <c r="W4">
        <v>2010</v>
      </c>
      <c r="X4">
        <v>2010</v>
      </c>
      <c r="Y4">
        <v>2011</v>
      </c>
      <c r="Z4">
        <v>2011</v>
      </c>
    </row>
    <row r="5" spans="1:26" x14ac:dyDescent="0.35">
      <c r="A5" t="str">
        <v>Ursula Le Guin</v>
      </c>
      <c r="B5" t="str">
        <f>books!B5</f>
        <v>Ursula Le Guin</v>
      </c>
      <c r="C5">
        <v>2019</v>
      </c>
      <c r="D5">
        <v>2019</v>
      </c>
      <c r="E5">
        <v>2019</v>
      </c>
      <c r="F5">
        <v>2019</v>
      </c>
      <c r="G5">
        <v>2019</v>
      </c>
      <c r="H5">
        <v>2019</v>
      </c>
      <c r="I5">
        <v>2019</v>
      </c>
      <c r="J5">
        <v>2021</v>
      </c>
      <c r="K5">
        <v>2021</v>
      </c>
      <c r="L5">
        <v>2021</v>
      </c>
      <c r="M5">
        <v>2021</v>
      </c>
      <c r="N5">
        <v>2021</v>
      </c>
      <c r="O5">
        <v>2021</v>
      </c>
      <c r="P5">
        <v>2021</v>
      </c>
      <c r="Q5">
        <v>2021</v>
      </c>
      <c r="R5">
        <v>2021</v>
      </c>
      <c r="S5">
        <v>2021</v>
      </c>
      <c r="T5">
        <v>2021</v>
      </c>
      <c r="U5">
        <v>2021</v>
      </c>
      <c r="V5">
        <v>2021</v>
      </c>
    </row>
    <row r="6" spans="1:26" x14ac:dyDescent="0.35">
      <c r="A6" t="str">
        <v>Seth Stephens-Davidowitz</v>
      </c>
      <c r="B6" t="str">
        <f>books!B6</f>
        <v>Seth Stephens-Davidowitz</v>
      </c>
      <c r="C6">
        <v>2017</v>
      </c>
    </row>
    <row r="7" spans="1:26" x14ac:dyDescent="0.35">
      <c r="A7" t="str">
        <v>C.S. Lewis</v>
      </c>
      <c r="B7" t="str">
        <f>books!B7</f>
        <v>C.S. Lewis</v>
      </c>
      <c r="C7">
        <v>2005</v>
      </c>
      <c r="D7">
        <v>2005</v>
      </c>
      <c r="E7">
        <v>2005</v>
      </c>
      <c r="F7">
        <v>2005</v>
      </c>
      <c r="G7">
        <v>2005</v>
      </c>
      <c r="H7">
        <v>2005</v>
      </c>
      <c r="I7">
        <v>2006</v>
      </c>
      <c r="J7">
        <v>2018</v>
      </c>
      <c r="K7">
        <v>2018</v>
      </c>
    </row>
    <row r="8" spans="1:26" x14ac:dyDescent="0.35">
      <c r="A8" t="str">
        <v>James Choung</v>
      </c>
      <c r="B8" t="str">
        <f>books!B8</f>
        <v>James Choung</v>
      </c>
      <c r="C8">
        <v>2017</v>
      </c>
    </row>
    <row r="9" spans="1:26" x14ac:dyDescent="0.35">
      <c r="A9" t="str">
        <v>Aldous Huxley</v>
      </c>
      <c r="B9" t="str">
        <f>books!B9</f>
        <v>Aldous Huxley</v>
      </c>
      <c r="C9">
        <v>2017</v>
      </c>
      <c r="D9">
        <v>2021</v>
      </c>
    </row>
    <row r="10" spans="1:26" x14ac:dyDescent="0.35">
      <c r="A10" t="str">
        <v>Isaac Asimov</v>
      </c>
      <c r="B10" t="str">
        <f>books!B10</f>
        <v>Isaac Asimov</v>
      </c>
      <c r="C10">
        <v>2009</v>
      </c>
      <c r="D10">
        <v>2009</v>
      </c>
      <c r="E10">
        <v>2009</v>
      </c>
      <c r="F10">
        <v>2011</v>
      </c>
      <c r="G10">
        <v>2011</v>
      </c>
      <c r="H10">
        <v>2019</v>
      </c>
      <c r="I10">
        <v>2019</v>
      </c>
    </row>
    <row r="11" spans="1:26" x14ac:dyDescent="0.35">
      <c r="A11" t="str">
        <v>JRR Tolkien</v>
      </c>
      <c r="B11" t="str">
        <f>books!B11</f>
        <v>JRR Tolkien</v>
      </c>
      <c r="C11">
        <v>2010</v>
      </c>
      <c r="D11">
        <v>2009</v>
      </c>
      <c r="E11">
        <v>2009</v>
      </c>
      <c r="F11">
        <v>2009</v>
      </c>
      <c r="G11">
        <v>2019</v>
      </c>
      <c r="H11">
        <v>2021</v>
      </c>
    </row>
    <row r="12" spans="1:26" x14ac:dyDescent="0.35">
      <c r="A12" t="str">
        <v>Susan Cooper</v>
      </c>
      <c r="B12" t="str">
        <f>books!B12</f>
        <v>Susan Cooper</v>
      </c>
      <c r="C12">
        <v>2007</v>
      </c>
      <c r="D12">
        <v>2007</v>
      </c>
      <c r="E12">
        <v>2009</v>
      </c>
      <c r="F12">
        <v>2008</v>
      </c>
      <c r="G12">
        <v>2008</v>
      </c>
      <c r="H12">
        <v>2010</v>
      </c>
      <c r="I12">
        <v>2010</v>
      </c>
    </row>
    <row r="13" spans="1:26" x14ac:dyDescent="0.35">
      <c r="A13" t="str">
        <v>Angie Sage</v>
      </c>
      <c r="B13" t="str">
        <f>books!B13</f>
        <v>Angie Sage</v>
      </c>
      <c r="C13">
        <v>2009</v>
      </c>
      <c r="D13">
        <v>2009</v>
      </c>
      <c r="E13">
        <v>2009</v>
      </c>
      <c r="F13">
        <v>2011</v>
      </c>
      <c r="G13">
        <v>2012</v>
      </c>
      <c r="H13">
        <v>2012</v>
      </c>
      <c r="I13">
        <v>2013</v>
      </c>
      <c r="J13">
        <v>2014</v>
      </c>
      <c r="K13">
        <v>2015</v>
      </c>
      <c r="L13">
        <v>2016</v>
      </c>
    </row>
    <row r="14" spans="1:26" x14ac:dyDescent="0.35">
      <c r="A14" t="str">
        <v>Ingrid Law</v>
      </c>
      <c r="B14" t="str">
        <f>books!B14</f>
        <v>Ingrid Law</v>
      </c>
      <c r="C14">
        <v>2010</v>
      </c>
      <c r="D14">
        <v>2012</v>
      </c>
    </row>
    <row r="15" spans="1:26" x14ac:dyDescent="0.35">
      <c r="A15" t="str">
        <v>Frank Herbert</v>
      </c>
      <c r="B15" t="str">
        <f>books!B15</f>
        <v>Frank Herbert</v>
      </c>
      <c r="C15">
        <v>2009</v>
      </c>
      <c r="D15">
        <v>2009</v>
      </c>
      <c r="E15">
        <v>2011</v>
      </c>
      <c r="F15">
        <v>2011</v>
      </c>
      <c r="G15">
        <v>2021</v>
      </c>
      <c r="H15">
        <v>2021</v>
      </c>
      <c r="I15">
        <v>2021</v>
      </c>
    </row>
    <row r="16" spans="1:26" x14ac:dyDescent="0.35">
      <c r="A16" t="str">
        <v>Kevin Anderson &amp; Brian Herbert</v>
      </c>
      <c r="B16" t="str">
        <f>books!B16</f>
        <v>Kevin Anderson &amp; Brian Herbert</v>
      </c>
      <c r="C16">
        <v>2009</v>
      </c>
      <c r="D16">
        <v>2009</v>
      </c>
      <c r="E16">
        <v>2009</v>
      </c>
      <c r="F16">
        <v>2010</v>
      </c>
      <c r="G16">
        <v>2010</v>
      </c>
      <c r="H16">
        <v>2012</v>
      </c>
      <c r="I16">
        <v>2012</v>
      </c>
      <c r="J16">
        <v>2012</v>
      </c>
      <c r="K16">
        <v>2021</v>
      </c>
      <c r="L16">
        <v>2021</v>
      </c>
      <c r="M16">
        <v>2021</v>
      </c>
    </row>
    <row r="17" spans="1:26" x14ac:dyDescent="0.35">
      <c r="A17" t="str">
        <v>James Dashner</v>
      </c>
      <c r="B17" t="str">
        <f>books!B17</f>
        <v>James Dashner</v>
      </c>
      <c r="C17">
        <v>2010</v>
      </c>
      <c r="D17">
        <v>2010</v>
      </c>
      <c r="E17">
        <v>2011</v>
      </c>
      <c r="F17">
        <v>2012</v>
      </c>
      <c r="G17">
        <v>2016</v>
      </c>
      <c r="H17">
        <v>2011</v>
      </c>
      <c r="I17">
        <v>2009</v>
      </c>
      <c r="J17">
        <v>2010</v>
      </c>
      <c r="K17">
        <v>2012</v>
      </c>
      <c r="L17">
        <v>2013</v>
      </c>
      <c r="M17">
        <v>2014</v>
      </c>
      <c r="N17">
        <v>2016</v>
      </c>
    </row>
    <row r="18" spans="1:26" x14ac:dyDescent="0.35">
      <c r="A18" t="str">
        <v>Margaret Peterson Haddix</v>
      </c>
      <c r="B18" t="str">
        <f>books!B18</f>
        <v>Margaret Peterson Haddix</v>
      </c>
      <c r="C18">
        <v>2007</v>
      </c>
      <c r="D18">
        <v>2007</v>
      </c>
      <c r="E18">
        <v>2007</v>
      </c>
      <c r="F18">
        <v>2007</v>
      </c>
      <c r="G18">
        <v>2008</v>
      </c>
      <c r="H18">
        <v>2008</v>
      </c>
      <c r="I18">
        <v>2008</v>
      </c>
      <c r="J18">
        <v>2008</v>
      </c>
      <c r="K18">
        <v>2009</v>
      </c>
      <c r="L18">
        <v>2010</v>
      </c>
      <c r="M18">
        <v>2011</v>
      </c>
      <c r="N18">
        <v>2012</v>
      </c>
      <c r="O18">
        <v>2013</v>
      </c>
      <c r="P18">
        <v>2014</v>
      </c>
      <c r="Q18">
        <v>2015</v>
      </c>
      <c r="R18">
        <v>2012</v>
      </c>
      <c r="S18">
        <v>2019</v>
      </c>
      <c r="T18">
        <v>2008</v>
      </c>
      <c r="U18">
        <v>2009</v>
      </c>
      <c r="V18">
        <v>2011</v>
      </c>
      <c r="X18">
        <v>2011</v>
      </c>
      <c r="Y18">
        <v>2012</v>
      </c>
      <c r="Z18">
        <v>2012</v>
      </c>
    </row>
    <row r="19" spans="1:26" x14ac:dyDescent="0.35">
      <c r="A19" t="str">
        <v>D.J. MacHale</v>
      </c>
      <c r="B19" t="str">
        <f>books!B19</f>
        <v>D.J. MacHale</v>
      </c>
      <c r="C19">
        <v>2008</v>
      </c>
      <c r="D19">
        <v>2008</v>
      </c>
      <c r="E19">
        <v>2008</v>
      </c>
      <c r="F19">
        <v>2008</v>
      </c>
      <c r="G19">
        <v>2008</v>
      </c>
      <c r="H19">
        <v>2008</v>
      </c>
      <c r="I19">
        <v>2009</v>
      </c>
      <c r="J19">
        <v>2009</v>
      </c>
      <c r="K19">
        <v>2009</v>
      </c>
      <c r="L19">
        <v>2009</v>
      </c>
    </row>
    <row r="20" spans="1:26" x14ac:dyDescent="0.35">
      <c r="A20" t="str">
        <v>Markus Zuzak</v>
      </c>
      <c r="B20" t="str">
        <f>books!B20</f>
        <v>Markus Zuzak</v>
      </c>
      <c r="C20">
        <v>2010</v>
      </c>
      <c r="D20">
        <v>2021</v>
      </c>
    </row>
    <row r="21" spans="1:26" x14ac:dyDescent="0.35">
      <c r="A21" t="str">
        <v>Suzanne Collins</v>
      </c>
      <c r="B21" t="str">
        <f>books!B21</f>
        <v>Suzanne Collins</v>
      </c>
      <c r="C21">
        <v>2009</v>
      </c>
      <c r="D21">
        <v>2009</v>
      </c>
      <c r="E21">
        <v>2010</v>
      </c>
      <c r="F21">
        <v>2008</v>
      </c>
      <c r="G21">
        <v>2008</v>
      </c>
      <c r="H21">
        <v>2008</v>
      </c>
      <c r="I21">
        <v>2008</v>
      </c>
      <c r="J21">
        <v>2008</v>
      </c>
    </row>
    <row r="22" spans="1:26" x14ac:dyDescent="0.35">
      <c r="A22" t="str">
        <v>Lois Lowry</v>
      </c>
      <c r="B22" t="str">
        <f>books!B22</f>
        <v>Lois Lowry</v>
      </c>
      <c r="C22">
        <v>2008</v>
      </c>
      <c r="D22">
        <v>2011</v>
      </c>
      <c r="E22">
        <v>2011</v>
      </c>
      <c r="F22">
        <v>2013</v>
      </c>
      <c r="G22">
        <v>2009</v>
      </c>
      <c r="H22">
        <v>2019</v>
      </c>
    </row>
    <row r="23" spans="1:26" x14ac:dyDescent="0.35">
      <c r="A23" t="str">
        <v>Cornelia Funke</v>
      </c>
      <c r="B23" t="str">
        <f>books!B23</f>
        <v>Cornelia Funke</v>
      </c>
      <c r="C23">
        <v>2006</v>
      </c>
      <c r="D23">
        <v>2005</v>
      </c>
      <c r="E23">
        <v>2019</v>
      </c>
      <c r="F23">
        <v>2007</v>
      </c>
      <c r="G23">
        <v>2008</v>
      </c>
      <c r="H23">
        <v>2008</v>
      </c>
    </row>
    <row r="24" spans="1:26" x14ac:dyDescent="0.35">
      <c r="A24" t="str">
        <v>Brian Sanderson</v>
      </c>
      <c r="B24" t="str">
        <f>books!B24</f>
        <v>Brian Sanderson</v>
      </c>
      <c r="C24">
        <v>2018</v>
      </c>
      <c r="D24">
        <v>2018</v>
      </c>
      <c r="E24">
        <v>2018</v>
      </c>
    </row>
    <row r="25" spans="1:26" x14ac:dyDescent="0.35">
      <c r="A25" t="str">
        <v>Charles Stross</v>
      </c>
      <c r="B25" t="str">
        <f>books!B25</f>
        <v>Charles Stross</v>
      </c>
      <c r="C25">
        <v>2018</v>
      </c>
      <c r="D25">
        <v>2018</v>
      </c>
      <c r="E25">
        <v>2018</v>
      </c>
      <c r="F25">
        <v>2018</v>
      </c>
      <c r="G25">
        <v>2018</v>
      </c>
      <c r="H25">
        <v>2018</v>
      </c>
      <c r="I25">
        <v>2018</v>
      </c>
      <c r="J25">
        <v>2019</v>
      </c>
      <c r="K25">
        <v>2018</v>
      </c>
      <c r="L25">
        <v>2018</v>
      </c>
      <c r="M25">
        <v>2018</v>
      </c>
    </row>
    <row r="26" spans="1:26" x14ac:dyDescent="0.35">
      <c r="A26" t="str">
        <v>Ridley Pearson and Dave Barry</v>
      </c>
      <c r="B26" t="str">
        <f>books!B26</f>
        <v>Ridley Pearson and Dave Barry</v>
      </c>
      <c r="C26">
        <v>2011</v>
      </c>
      <c r="D26">
        <v>2011</v>
      </c>
      <c r="E26">
        <v>2011</v>
      </c>
      <c r="F26">
        <v>2015</v>
      </c>
    </row>
    <row r="27" spans="1:26" x14ac:dyDescent="0.35">
      <c r="A27" t="str">
        <v>J.K. Rowling</v>
      </c>
      <c r="B27" t="str">
        <f>books!B27</f>
        <v>J.K. Rowling</v>
      </c>
      <c r="C27">
        <v>2007</v>
      </c>
      <c r="D27">
        <v>2009</v>
      </c>
      <c r="E27">
        <v>2009</v>
      </c>
      <c r="F27">
        <v>2009</v>
      </c>
      <c r="G27">
        <v>2010</v>
      </c>
      <c r="H27">
        <v>2010</v>
      </c>
      <c r="I27">
        <v>2010</v>
      </c>
    </row>
    <row r="28" spans="1:26" x14ac:dyDescent="0.35">
      <c r="A28" t="str">
        <v>Anne McCaffrey</v>
      </c>
      <c r="B28" t="str">
        <f>books!B28</f>
        <v>Anne McCaffrey</v>
      </c>
      <c r="C28">
        <v>2012</v>
      </c>
      <c r="D28">
        <v>2013</v>
      </c>
      <c r="E28">
        <v>2013</v>
      </c>
      <c r="F28">
        <v>2013</v>
      </c>
      <c r="G28">
        <v>2013</v>
      </c>
      <c r="H28">
        <v>2013</v>
      </c>
      <c r="I28">
        <v>2013</v>
      </c>
    </row>
    <row r="29" spans="1:26" x14ac:dyDescent="0.35">
      <c r="A29" t="str">
        <v>Andrew Clements</v>
      </c>
      <c r="B29" t="str">
        <f>books!B29</f>
        <v>Andrew Clements</v>
      </c>
      <c r="C29">
        <v>2007</v>
      </c>
      <c r="D29">
        <v>2010</v>
      </c>
      <c r="E29">
        <v>2011</v>
      </c>
      <c r="F29">
        <v>2009</v>
      </c>
      <c r="G29">
        <v>2012</v>
      </c>
      <c r="H29">
        <v>2006</v>
      </c>
    </row>
    <row r="30" spans="1:26" x14ac:dyDescent="0.35">
      <c r="A30" t="str">
        <v>Robert O'Brien</v>
      </c>
      <c r="B30" t="str">
        <f>books!B30</f>
        <v>Robert O'Brien</v>
      </c>
      <c r="C30">
        <v>2006</v>
      </c>
    </row>
    <row r="31" spans="1:26" x14ac:dyDescent="0.35">
      <c r="A31" t="str">
        <v>Lillian Jackson Braun</v>
      </c>
      <c r="B31" t="str">
        <f>books!B31</f>
        <v>Lillian Jackson Braun</v>
      </c>
      <c r="C31">
        <v>2008</v>
      </c>
      <c r="D31">
        <v>2008</v>
      </c>
      <c r="E31">
        <v>2008</v>
      </c>
      <c r="F31">
        <v>2008</v>
      </c>
      <c r="G31">
        <v>2008</v>
      </c>
      <c r="H31">
        <v>2009</v>
      </c>
      <c r="I31">
        <v>2009</v>
      </c>
    </row>
    <row r="32" spans="1:26" x14ac:dyDescent="0.35">
      <c r="A32" t="str">
        <v>Elizabeth Enright</v>
      </c>
      <c r="B32" t="str">
        <f>books!B32</f>
        <v>Elizabeth Enright</v>
      </c>
      <c r="C32">
        <v>2007</v>
      </c>
      <c r="D32">
        <v>2009</v>
      </c>
    </row>
    <row r="33" spans="1:14" x14ac:dyDescent="0.35">
      <c r="A33" t="str">
        <v>Frances Burnett</v>
      </c>
      <c r="B33" t="str">
        <f>books!B33</f>
        <v>Frances Burnett</v>
      </c>
      <c r="C33">
        <v>2006</v>
      </c>
      <c r="D33">
        <v>2009</v>
      </c>
    </row>
    <row r="34" spans="1:14" x14ac:dyDescent="0.35">
      <c r="A34" t="str">
        <v>Johann Wyss</v>
      </c>
      <c r="B34" t="str">
        <f>books!B34</f>
        <v>Johann Wyss</v>
      </c>
      <c r="C34">
        <v>2007</v>
      </c>
    </row>
    <row r="35" spans="1:14" x14ac:dyDescent="0.35">
      <c r="A35" t="str">
        <v>Anna Sewell</v>
      </c>
      <c r="B35" t="str">
        <f>books!B35</f>
        <v>Anna Sewell</v>
      </c>
      <c r="C35">
        <v>2006</v>
      </c>
    </row>
    <row r="36" spans="1:14" x14ac:dyDescent="0.35">
      <c r="A36" t="str">
        <v>Marguerite Henry</v>
      </c>
      <c r="B36" t="str">
        <f>books!B36</f>
        <v>Marguerite Henry</v>
      </c>
      <c r="C36">
        <v>2006</v>
      </c>
      <c r="D36">
        <v>2006</v>
      </c>
      <c r="E36">
        <v>2006</v>
      </c>
      <c r="F36">
        <v>2006</v>
      </c>
      <c r="G36">
        <v>2007</v>
      </c>
      <c r="H36">
        <v>2007</v>
      </c>
      <c r="I36">
        <v>2007</v>
      </c>
      <c r="J36">
        <v>2007</v>
      </c>
      <c r="K36">
        <v>2007</v>
      </c>
      <c r="L36">
        <v>2008</v>
      </c>
      <c r="M36">
        <v>2008</v>
      </c>
    </row>
    <row r="37" spans="1:14" x14ac:dyDescent="0.35">
      <c r="A37" t="str">
        <v>Jeffery Dean</v>
      </c>
      <c r="B37" t="str">
        <f>books!B37</f>
        <v>Jeffery Dean</v>
      </c>
      <c r="C37">
        <v>2014</v>
      </c>
      <c r="D37">
        <v>2014</v>
      </c>
    </row>
    <row r="38" spans="1:14" x14ac:dyDescent="0.35">
      <c r="A38" t="str">
        <v>Gary Paulsen</v>
      </c>
      <c r="B38" t="str">
        <f>books!B38</f>
        <v>Gary Paulsen</v>
      </c>
      <c r="C38">
        <v>2005</v>
      </c>
      <c r="D38">
        <v>2007</v>
      </c>
      <c r="E38">
        <v>2012</v>
      </c>
      <c r="F38">
        <v>2012</v>
      </c>
      <c r="G38">
        <v>2013</v>
      </c>
      <c r="H38">
        <v>2012</v>
      </c>
      <c r="I38">
        <v>2013</v>
      </c>
      <c r="J38">
        <v>2013</v>
      </c>
      <c r="K38">
        <v>2012</v>
      </c>
      <c r="L38">
        <v>2011</v>
      </c>
      <c r="M38">
        <v>2011</v>
      </c>
      <c r="N38">
        <v>2014</v>
      </c>
    </row>
    <row r="39" spans="1:14" x14ac:dyDescent="0.35">
      <c r="A39" t="str">
        <v>Laura Wilder</v>
      </c>
      <c r="B39" t="str">
        <f>books!B39</f>
        <v>Laura Wilder</v>
      </c>
      <c r="C39">
        <v>2008</v>
      </c>
      <c r="D39">
        <v>2006</v>
      </c>
      <c r="E39">
        <v>2007</v>
      </c>
      <c r="F39">
        <v>2007</v>
      </c>
      <c r="G39">
        <v>2007</v>
      </c>
      <c r="H39">
        <v>2007</v>
      </c>
      <c r="I39">
        <v>2007</v>
      </c>
      <c r="J39">
        <v>2008</v>
      </c>
      <c r="K39">
        <v>2008</v>
      </c>
      <c r="L39">
        <v>2011</v>
      </c>
    </row>
    <row r="40" spans="1:14" x14ac:dyDescent="0.35">
      <c r="A40" t="str">
        <v>Cristopher Curtis</v>
      </c>
      <c r="B40" t="str">
        <f>books!B40</f>
        <v>Cristopher Curtis</v>
      </c>
      <c r="C40">
        <v>2006</v>
      </c>
    </row>
    <row r="41" spans="1:14" x14ac:dyDescent="0.35">
      <c r="A41" t="str">
        <v>Bernard Evslin</v>
      </c>
      <c r="B41" t="str">
        <f>books!B41</f>
        <v>Bernard Evslin</v>
      </c>
      <c r="C41">
        <v>2007</v>
      </c>
    </row>
    <row r="42" spans="1:14" x14ac:dyDescent="0.35">
      <c r="A42" t="str">
        <v>Robert McCloskey</v>
      </c>
      <c r="B42" t="str">
        <f>books!B42</f>
        <v>Robert McCloskey</v>
      </c>
      <c r="C42">
        <v>2007</v>
      </c>
      <c r="D42">
        <v>2007</v>
      </c>
    </row>
    <row r="43" spans="1:14" x14ac:dyDescent="0.35">
      <c r="A43" t="str">
        <v>Kenneth Thomasma</v>
      </c>
      <c r="B43" t="str">
        <f>books!B43</f>
        <v>Kenneth Thomasma</v>
      </c>
      <c r="C43">
        <v>2008</v>
      </c>
      <c r="D43">
        <v>2008</v>
      </c>
      <c r="E43">
        <v>2010</v>
      </c>
    </row>
    <row r="44" spans="1:14" x14ac:dyDescent="0.35">
      <c r="A44" t="str">
        <v>Edith Hunter</v>
      </c>
      <c r="B44" t="str">
        <f>books!B44</f>
        <v>Edith Hunter</v>
      </c>
      <c r="C44">
        <v>2004</v>
      </c>
    </row>
    <row r="45" spans="1:14" x14ac:dyDescent="0.35">
      <c r="A45" t="str">
        <v>Michael Bond</v>
      </c>
      <c r="B45" t="str">
        <f>books!B45</f>
        <v>Michael Bond</v>
      </c>
      <c r="C45">
        <v>2004</v>
      </c>
    </row>
    <row r="46" spans="1:14" x14ac:dyDescent="0.35">
      <c r="A46" t="str">
        <v>Roald Dahl</v>
      </c>
      <c r="B46" t="str">
        <f>books!B46</f>
        <v>Roald Dahl</v>
      </c>
      <c r="C46">
        <v>2006</v>
      </c>
      <c r="D46">
        <v>2006</v>
      </c>
      <c r="E46">
        <v>2005</v>
      </c>
      <c r="F46">
        <v>2005</v>
      </c>
      <c r="G46">
        <v>2005</v>
      </c>
      <c r="H46">
        <v>2007</v>
      </c>
      <c r="I46">
        <v>2007</v>
      </c>
      <c r="J46">
        <v>2008</v>
      </c>
      <c r="K46">
        <v>2011</v>
      </c>
      <c r="L46">
        <v>2008</v>
      </c>
      <c r="M46">
        <v>2008</v>
      </c>
      <c r="N46">
        <v>2008</v>
      </c>
    </row>
    <row r="47" spans="1:14" x14ac:dyDescent="0.35">
      <c r="A47" t="str">
        <v>Elizabeth Yates</v>
      </c>
      <c r="B47" t="str">
        <f>books!B47</f>
        <v>Elizabeth Yates</v>
      </c>
      <c r="C47">
        <v>2007</v>
      </c>
    </row>
    <row r="48" spans="1:14" x14ac:dyDescent="0.35">
      <c r="A48" t="str">
        <v>Mary Shelly</v>
      </c>
      <c r="B48" t="str">
        <f>books!B48</f>
        <v>Mary Shelly</v>
      </c>
      <c r="C48">
        <v>2015</v>
      </c>
    </row>
    <row r="49" spans="1:49" x14ac:dyDescent="0.35">
      <c r="A49" t="str">
        <v>Jenny Nimmo</v>
      </c>
      <c r="B49" t="str">
        <f>books!B49</f>
        <v>Jenny Nimmo</v>
      </c>
      <c r="C49">
        <v>2008</v>
      </c>
      <c r="D49">
        <v>2008</v>
      </c>
      <c r="E49">
        <v>2008</v>
      </c>
      <c r="F49">
        <v>2008</v>
      </c>
      <c r="G49">
        <v>2008</v>
      </c>
      <c r="H49">
        <v>2008</v>
      </c>
      <c r="I49">
        <v>2008</v>
      </c>
    </row>
    <row r="50" spans="1:49" x14ac:dyDescent="0.35">
      <c r="A50" t="str">
        <v>Michael Buckley</v>
      </c>
      <c r="B50" t="str">
        <f>books!B50</f>
        <v>Michael Buckley</v>
      </c>
      <c r="C50">
        <v>2011</v>
      </c>
      <c r="D50">
        <v>2011</v>
      </c>
      <c r="E50">
        <v>2011</v>
      </c>
      <c r="F50">
        <v>2011</v>
      </c>
      <c r="G50">
        <v>2011</v>
      </c>
      <c r="H50">
        <v>2011</v>
      </c>
      <c r="I50">
        <v>2011</v>
      </c>
      <c r="J50">
        <v>2011</v>
      </c>
      <c r="K50">
        <v>2011</v>
      </c>
    </row>
    <row r="51" spans="1:49" x14ac:dyDescent="0.35">
      <c r="A51" t="str">
        <v>Clive Cussler</v>
      </c>
      <c r="B51" t="str">
        <f>books!B51</f>
        <v>Clive Cussler</v>
      </c>
      <c r="C51">
        <v>2011</v>
      </c>
      <c r="D51">
        <v>2011</v>
      </c>
      <c r="E51">
        <v>2011</v>
      </c>
      <c r="F51">
        <v>2011</v>
      </c>
    </row>
    <row r="52" spans="1:49" x14ac:dyDescent="0.35">
      <c r="A52" t="str">
        <v>Terry Brooks</v>
      </c>
      <c r="B52" t="str">
        <f>books!B52</f>
        <v>Terry Brooks</v>
      </c>
      <c r="C52">
        <v>2011</v>
      </c>
      <c r="D52">
        <v>2011</v>
      </c>
      <c r="E52">
        <v>2011</v>
      </c>
      <c r="F52">
        <v>2011</v>
      </c>
      <c r="G52">
        <v>2010</v>
      </c>
      <c r="H52">
        <v>2012</v>
      </c>
      <c r="I52">
        <v>2012</v>
      </c>
      <c r="J52">
        <v>2012</v>
      </c>
      <c r="K52">
        <v>2021</v>
      </c>
    </row>
    <row r="53" spans="1:49" x14ac:dyDescent="0.35">
      <c r="A53" t="str">
        <v>Kristin Cashore</v>
      </c>
      <c r="B53" t="str">
        <f>books!B53</f>
        <v>Kristin Cashore</v>
      </c>
      <c r="C53">
        <v>2014</v>
      </c>
      <c r="D53">
        <v>2014</v>
      </c>
      <c r="E53">
        <v>2014</v>
      </c>
    </row>
    <row r="54" spans="1:49" x14ac:dyDescent="0.35">
      <c r="A54" t="str">
        <v>Chris D'lacey</v>
      </c>
      <c r="B54" t="str">
        <f>books!B54</f>
        <v>Chris D'lacey</v>
      </c>
      <c r="C54">
        <v>2009</v>
      </c>
      <c r="D54">
        <v>2010</v>
      </c>
      <c r="E54">
        <v>2010</v>
      </c>
      <c r="F54">
        <v>2012</v>
      </c>
      <c r="G54">
        <v>2013</v>
      </c>
      <c r="H54">
        <v>2014</v>
      </c>
      <c r="I54">
        <v>2016</v>
      </c>
    </row>
    <row r="55" spans="1:49" x14ac:dyDescent="0.35">
      <c r="A55" t="str">
        <v>Katherine Applegate</v>
      </c>
      <c r="B55" t="str">
        <f>books!B55</f>
        <v>Katherine Applegate</v>
      </c>
      <c r="C55">
        <v>2007</v>
      </c>
      <c r="D55">
        <v>2007</v>
      </c>
      <c r="E55">
        <v>2007</v>
      </c>
      <c r="F55">
        <v>2007</v>
      </c>
      <c r="G55">
        <v>2007</v>
      </c>
      <c r="H55">
        <v>2007</v>
      </c>
      <c r="I55">
        <v>2007</v>
      </c>
      <c r="J55">
        <v>2007</v>
      </c>
      <c r="K55">
        <v>2007</v>
      </c>
      <c r="L55">
        <v>2007</v>
      </c>
      <c r="M55">
        <v>2007</v>
      </c>
      <c r="N55">
        <v>2007</v>
      </c>
      <c r="O55">
        <v>2007</v>
      </c>
      <c r="P55">
        <v>2007</v>
      </c>
      <c r="Q55">
        <v>2007</v>
      </c>
      <c r="R55">
        <v>2007</v>
      </c>
      <c r="S55">
        <v>2007</v>
      </c>
      <c r="T55">
        <v>2007</v>
      </c>
      <c r="U55">
        <v>2007</v>
      </c>
      <c r="V55">
        <v>2007</v>
      </c>
      <c r="W55">
        <v>2007</v>
      </c>
      <c r="X55">
        <v>2007</v>
      </c>
      <c r="Y55">
        <v>2007</v>
      </c>
      <c r="Z55">
        <v>2007</v>
      </c>
      <c r="AA55">
        <v>2007</v>
      </c>
      <c r="AB55">
        <v>2008</v>
      </c>
      <c r="AC55">
        <v>2008</v>
      </c>
      <c r="AD55">
        <v>2008</v>
      </c>
      <c r="AE55">
        <v>2008</v>
      </c>
      <c r="AF55">
        <v>2008</v>
      </c>
      <c r="AG55">
        <v>2008</v>
      </c>
      <c r="AH55">
        <v>2008</v>
      </c>
      <c r="AI55">
        <v>2008</v>
      </c>
      <c r="AJ55">
        <v>2008</v>
      </c>
      <c r="AK55">
        <v>2008</v>
      </c>
      <c r="AL55">
        <v>2008</v>
      </c>
      <c r="AM55">
        <v>2008</v>
      </c>
      <c r="AN55">
        <v>2008</v>
      </c>
      <c r="AO55">
        <v>2008</v>
      </c>
      <c r="AP55">
        <v>2008</v>
      </c>
      <c r="AQ55">
        <v>2008</v>
      </c>
      <c r="AR55">
        <v>2008</v>
      </c>
      <c r="AS55">
        <v>2008</v>
      </c>
      <c r="AT55">
        <v>2008</v>
      </c>
      <c r="AU55">
        <v>2008</v>
      </c>
      <c r="AV55">
        <v>2009</v>
      </c>
      <c r="AW55">
        <v>2009</v>
      </c>
    </row>
    <row r="56" spans="1:49" x14ac:dyDescent="0.35">
      <c r="A56" t="str">
        <v>Eleanor Estes</v>
      </c>
      <c r="B56" t="str">
        <f>books!B56</f>
        <v>Eleanor Estes</v>
      </c>
      <c r="C56">
        <v>2006</v>
      </c>
      <c r="D56">
        <v>2019</v>
      </c>
      <c r="E56">
        <v>2008</v>
      </c>
      <c r="F56">
        <v>2008</v>
      </c>
      <c r="G56">
        <v>2009</v>
      </c>
    </row>
    <row r="57" spans="1:49" x14ac:dyDescent="0.35">
      <c r="A57" t="str">
        <v>Mark Twain</v>
      </c>
      <c r="B57" t="str">
        <f>books!B57</f>
        <v>Mark Twain</v>
      </c>
      <c r="C57">
        <v>2011</v>
      </c>
      <c r="D57">
        <v>2011</v>
      </c>
      <c r="E57">
        <v>2011</v>
      </c>
    </row>
    <row r="58" spans="1:49" x14ac:dyDescent="0.35">
      <c r="A58" t="str">
        <v>Kenneth Grahame</v>
      </c>
      <c r="B58" t="str">
        <f>books!B58</f>
        <v>Kenneth Grahame</v>
      </c>
      <c r="C58">
        <v>2007</v>
      </c>
      <c r="D58">
        <v>2009</v>
      </c>
    </row>
    <row r="59" spans="1:49" x14ac:dyDescent="0.35">
      <c r="A59" t="str">
        <v>Allan Eckert</v>
      </c>
      <c r="B59" t="str">
        <f>books!B59</f>
        <v>Allan Eckert</v>
      </c>
      <c r="C59">
        <v>2007</v>
      </c>
    </row>
    <row r="60" spans="1:49" x14ac:dyDescent="0.35">
      <c r="A60" t="str">
        <v>Jacqueline Kelly</v>
      </c>
      <c r="B60" t="str">
        <f>books!B60</f>
        <v>Jacqueline Kelly</v>
      </c>
      <c r="C60">
        <v>2009</v>
      </c>
    </row>
    <row r="61" spans="1:49" x14ac:dyDescent="0.35">
      <c r="A61" t="str">
        <v>Julie Andrews</v>
      </c>
      <c r="B61" t="str">
        <f>books!B61</f>
        <v>Julie Andrews</v>
      </c>
      <c r="C61">
        <v>2010</v>
      </c>
    </row>
    <row r="62" spans="1:49" x14ac:dyDescent="0.35">
      <c r="A62" t="str">
        <v>Katherine Paterson</v>
      </c>
      <c r="B62" t="str">
        <f>books!B62</f>
        <v>Katherine Paterson</v>
      </c>
      <c r="C62">
        <v>2010</v>
      </c>
    </row>
    <row r="63" spans="1:49" x14ac:dyDescent="0.35">
      <c r="A63" t="str">
        <v>Ted Bell</v>
      </c>
      <c r="B63" t="str">
        <f>books!B63</f>
        <v>Ted Bell</v>
      </c>
      <c r="C63">
        <v>2012</v>
      </c>
      <c r="D63">
        <v>2012</v>
      </c>
    </row>
    <row r="64" spans="1:49" x14ac:dyDescent="0.35">
      <c r="A64" t="str">
        <v>Lynne Banks</v>
      </c>
      <c r="B64" t="str">
        <f>books!B64</f>
        <v>Lynne Banks</v>
      </c>
      <c r="C64">
        <v>2008</v>
      </c>
      <c r="D64">
        <v>2009</v>
      </c>
      <c r="E64">
        <v>2009</v>
      </c>
      <c r="F64">
        <v>2009</v>
      </c>
      <c r="G64">
        <v>2009</v>
      </c>
    </row>
    <row r="65" spans="1:16" x14ac:dyDescent="0.35">
      <c r="A65" t="str">
        <v>G. Lippert</v>
      </c>
      <c r="B65" t="str">
        <f>books!B65</f>
        <v>G. Lippert</v>
      </c>
      <c r="C65">
        <v>2014</v>
      </c>
      <c r="D65">
        <v>2014</v>
      </c>
      <c r="E65">
        <v>2014</v>
      </c>
    </row>
    <row r="66" spans="1:16" x14ac:dyDescent="0.35">
      <c r="A66" t="str">
        <v>Johannes von Saaz</v>
      </c>
      <c r="B66" t="str">
        <f>books!B66</f>
        <v>Johannes von Saaz</v>
      </c>
      <c r="C66">
        <v>2018</v>
      </c>
    </row>
    <row r="67" spans="1:16" x14ac:dyDescent="0.35">
      <c r="A67" t="str">
        <v>Hartmann von Aue</v>
      </c>
      <c r="B67" t="str">
        <f>books!B67</f>
        <v>Hartmann von Aue</v>
      </c>
      <c r="C67">
        <v>2018</v>
      </c>
    </row>
    <row r="68" spans="1:16" x14ac:dyDescent="0.35">
      <c r="A68" t="str">
        <v>Charles Dickens</v>
      </c>
      <c r="B68" t="str">
        <f>books!B68</f>
        <v>Charles Dickens</v>
      </c>
      <c r="C68">
        <v>2013</v>
      </c>
      <c r="D68">
        <v>2008</v>
      </c>
      <c r="E68">
        <v>2011</v>
      </c>
      <c r="F68">
        <v>2008</v>
      </c>
    </row>
    <row r="69" spans="1:16" x14ac:dyDescent="0.35">
      <c r="A69" t="str">
        <v>Richard Connell</v>
      </c>
      <c r="B69" t="str">
        <f>books!B69</f>
        <v>Richard Connell</v>
      </c>
      <c r="C69">
        <v>2011</v>
      </c>
    </row>
    <row r="70" spans="1:16" x14ac:dyDescent="0.35">
      <c r="A70" t="str">
        <v>Robert Jeffress</v>
      </c>
      <c r="B70" t="str">
        <f>books!B70</f>
        <v>Robert Jeffress</v>
      </c>
      <c r="C70">
        <v>2013</v>
      </c>
    </row>
    <row r="71" spans="1:16" x14ac:dyDescent="0.35">
      <c r="A71" t="str">
        <v>Tristan Gooley</v>
      </c>
      <c r="B71" t="str">
        <f>books!B71</f>
        <v>Tristan Gooley</v>
      </c>
      <c r="C71">
        <v>2013</v>
      </c>
    </row>
    <row r="72" spans="1:16" x14ac:dyDescent="0.35">
      <c r="A72" t="str">
        <v>Sid Fleischman</v>
      </c>
      <c r="B72" t="str">
        <f>books!B72</f>
        <v>Sid Fleischman</v>
      </c>
      <c r="C72">
        <v>2004</v>
      </c>
    </row>
    <row r="73" spans="1:16" x14ac:dyDescent="0.35">
      <c r="A73" t="str">
        <v>Kevin Brooks</v>
      </c>
      <c r="B73" t="str">
        <f>books!B73</f>
        <v>Kevin Brooks</v>
      </c>
      <c r="C73">
        <v>2016</v>
      </c>
    </row>
    <row r="74" spans="1:16" x14ac:dyDescent="0.35">
      <c r="A74" t="str">
        <v>Lissa Price</v>
      </c>
      <c r="B74" t="str">
        <f>books!B74</f>
        <v>Lissa Price</v>
      </c>
      <c r="C74">
        <v>2015</v>
      </c>
      <c r="D74">
        <v>2015</v>
      </c>
    </row>
    <row r="75" spans="1:16" x14ac:dyDescent="0.35">
      <c r="A75" t="str">
        <v>Nancy Farmer</v>
      </c>
      <c r="B75" t="str">
        <f>books!B75</f>
        <v>Nancy Farmer</v>
      </c>
      <c r="C75">
        <v>2014</v>
      </c>
      <c r="D75">
        <v>2014</v>
      </c>
      <c r="E75">
        <v>2011</v>
      </c>
      <c r="F75">
        <v>2011</v>
      </c>
      <c r="G75">
        <v>2011</v>
      </c>
    </row>
    <row r="76" spans="1:16" x14ac:dyDescent="0.35">
      <c r="A76" t="str">
        <v>Frank Baum</v>
      </c>
      <c r="B76" t="str">
        <f>books!B76</f>
        <v>Frank Baum</v>
      </c>
      <c r="C76">
        <v>2009</v>
      </c>
      <c r="D76">
        <v>2009</v>
      </c>
      <c r="E76">
        <v>2009</v>
      </c>
      <c r="F76">
        <v>2009</v>
      </c>
      <c r="G76">
        <v>2009</v>
      </c>
      <c r="H76">
        <v>2009</v>
      </c>
      <c r="I76">
        <v>2009</v>
      </c>
      <c r="J76">
        <v>2009</v>
      </c>
      <c r="K76">
        <v>2009</v>
      </c>
      <c r="L76">
        <v>2009</v>
      </c>
      <c r="M76">
        <v>2009</v>
      </c>
      <c r="N76">
        <v>2009</v>
      </c>
      <c r="O76">
        <v>2009</v>
      </c>
      <c r="P76">
        <v>2009</v>
      </c>
    </row>
    <row r="77" spans="1:16" x14ac:dyDescent="0.35">
      <c r="A77" t="str">
        <v>H.G. Wells</v>
      </c>
      <c r="B77" t="str">
        <f>books!B77</f>
        <v>H.G. Wells</v>
      </c>
      <c r="C77">
        <v>2013</v>
      </c>
      <c r="D77">
        <v>2021</v>
      </c>
    </row>
    <row r="78" spans="1:16" x14ac:dyDescent="0.35">
      <c r="A78" t="str">
        <v>John Christopher</v>
      </c>
      <c r="B78" t="str">
        <f>books!B78</f>
        <v>John Christopher</v>
      </c>
      <c r="C78">
        <v>2013</v>
      </c>
      <c r="D78">
        <v>2013</v>
      </c>
      <c r="E78">
        <v>2013</v>
      </c>
      <c r="F78">
        <v>2013</v>
      </c>
    </row>
    <row r="79" spans="1:16" x14ac:dyDescent="0.35">
      <c r="A79" t="str">
        <v>Gerald Morris</v>
      </c>
      <c r="B79" t="str">
        <f>books!B79</f>
        <v>Gerald Morris</v>
      </c>
      <c r="C79">
        <v>2007</v>
      </c>
      <c r="D79">
        <v>2007</v>
      </c>
      <c r="E79">
        <v>2007</v>
      </c>
      <c r="F79">
        <v>2007</v>
      </c>
      <c r="G79">
        <v>2007</v>
      </c>
      <c r="H79">
        <v>2007</v>
      </c>
      <c r="I79">
        <v>2007</v>
      </c>
      <c r="J79">
        <v>2008</v>
      </c>
      <c r="K79">
        <v>2008</v>
      </c>
      <c r="L79">
        <v>2008</v>
      </c>
    </row>
    <row r="80" spans="1:16" x14ac:dyDescent="0.35">
      <c r="A80" t="str">
        <v>Phillip Pullman</v>
      </c>
      <c r="B80" t="str">
        <f>books!B80</f>
        <v>Phillip Pullman</v>
      </c>
      <c r="C80">
        <v>2009</v>
      </c>
      <c r="D80">
        <v>2009</v>
      </c>
      <c r="E80">
        <v>2009</v>
      </c>
    </row>
    <row r="81" spans="1:15" x14ac:dyDescent="0.35">
      <c r="A81" t="str">
        <v>Diane Duane</v>
      </c>
      <c r="B81" t="str">
        <f>books!B81</f>
        <v>Diane Duane</v>
      </c>
      <c r="C81">
        <v>2010</v>
      </c>
      <c r="D81">
        <v>2010</v>
      </c>
    </row>
    <row r="82" spans="1:15" x14ac:dyDescent="0.35">
      <c r="A82" t="str">
        <v>Wilson Rawls</v>
      </c>
      <c r="B82" t="str">
        <f>books!B82</f>
        <v>Wilson Rawls</v>
      </c>
      <c r="C82">
        <v>2012</v>
      </c>
    </row>
    <row r="83" spans="1:15" x14ac:dyDescent="0.35">
      <c r="A83" t="str">
        <v>Lois Lamour</v>
      </c>
      <c r="B83" t="str">
        <f>books!B83</f>
        <v>Lois Lamour</v>
      </c>
      <c r="C83">
        <v>2007</v>
      </c>
      <c r="D83">
        <v>2007</v>
      </c>
    </row>
    <row r="84" spans="1:15" x14ac:dyDescent="0.35">
      <c r="A84" t="str">
        <v>Franklin Dixon</v>
      </c>
      <c r="B84" t="str">
        <f>books!B84</f>
        <v>Franklin Dixon</v>
      </c>
      <c r="C84">
        <v>2006</v>
      </c>
      <c r="D84">
        <v>2006</v>
      </c>
      <c r="E84">
        <v>2006</v>
      </c>
      <c r="F84">
        <v>2006</v>
      </c>
    </row>
    <row r="85" spans="1:15" x14ac:dyDescent="0.35">
      <c r="A85" t="str">
        <v>Clare Vanderpool</v>
      </c>
      <c r="B85" t="str">
        <f>books!B85</f>
        <v>Clare Vanderpool</v>
      </c>
      <c r="C85">
        <v>2012</v>
      </c>
    </row>
    <row r="86" spans="1:15" x14ac:dyDescent="0.35">
      <c r="A86" t="str">
        <v>Tracy Porter</v>
      </c>
      <c r="B86" t="str">
        <f>books!B86</f>
        <v>Tracy Porter</v>
      </c>
      <c r="C86">
        <v>2011</v>
      </c>
    </row>
    <row r="87" spans="1:15" x14ac:dyDescent="0.35">
      <c r="A87" t="str">
        <v>Brandon Mull</v>
      </c>
      <c r="B87" t="str">
        <f>books!B87</f>
        <v>Brandon Mull</v>
      </c>
      <c r="C87">
        <v>2012</v>
      </c>
      <c r="D87">
        <v>2012</v>
      </c>
      <c r="E87">
        <v>2013</v>
      </c>
      <c r="F87">
        <v>2013</v>
      </c>
      <c r="G87">
        <v>2013</v>
      </c>
      <c r="H87">
        <v>2014</v>
      </c>
      <c r="I87">
        <v>2014</v>
      </c>
      <c r="J87">
        <v>2014</v>
      </c>
    </row>
    <row r="88" spans="1:15" x14ac:dyDescent="0.35">
      <c r="A88" t="str">
        <v>Gabrielle Zevin</v>
      </c>
      <c r="B88" t="str">
        <f>books!B88</f>
        <v>Gabrielle Zevin</v>
      </c>
      <c r="C88">
        <v>2013</v>
      </c>
    </row>
    <row r="89" spans="1:15" x14ac:dyDescent="0.35">
      <c r="A89" t="str">
        <v>Neal Shusterman</v>
      </c>
      <c r="B89" t="str">
        <f>books!B89</f>
        <v>Neal Shusterman</v>
      </c>
      <c r="C89">
        <v>2013</v>
      </c>
      <c r="D89">
        <v>2013</v>
      </c>
      <c r="E89">
        <v>2013</v>
      </c>
      <c r="F89">
        <v>2013</v>
      </c>
      <c r="G89">
        <v>2013</v>
      </c>
    </row>
    <row r="90" spans="1:15" x14ac:dyDescent="0.35">
      <c r="A90" t="str">
        <v>Charlie Higson</v>
      </c>
      <c r="B90" t="str">
        <f>books!B90</f>
        <v>Charlie Higson</v>
      </c>
      <c r="C90">
        <v>2010</v>
      </c>
      <c r="D90">
        <v>2010</v>
      </c>
      <c r="E90">
        <v>2010</v>
      </c>
      <c r="F90">
        <v>2010</v>
      </c>
      <c r="G90">
        <v>2011</v>
      </c>
    </row>
    <row r="91" spans="1:15" x14ac:dyDescent="0.35">
      <c r="A91" t="str">
        <v>Lemony Snicket</v>
      </c>
      <c r="B91" t="str">
        <f>books!B91</f>
        <v>Lemony Snicket</v>
      </c>
      <c r="C91">
        <v>2010</v>
      </c>
      <c r="D91">
        <v>2010</v>
      </c>
      <c r="E91">
        <v>2010</v>
      </c>
      <c r="F91">
        <v>2010</v>
      </c>
      <c r="G91">
        <v>2010</v>
      </c>
      <c r="H91">
        <v>2010</v>
      </c>
      <c r="I91">
        <v>2010</v>
      </c>
      <c r="J91">
        <v>2010</v>
      </c>
      <c r="K91">
        <v>2010</v>
      </c>
      <c r="L91">
        <v>2010</v>
      </c>
      <c r="M91">
        <v>2010</v>
      </c>
      <c r="N91">
        <v>2010</v>
      </c>
      <c r="O91">
        <v>2010</v>
      </c>
    </row>
    <row r="92" spans="1:15" x14ac:dyDescent="0.35">
      <c r="A92" t="str">
        <v>Pseydonymous Bosch</v>
      </c>
      <c r="B92" t="str">
        <f>books!B92</f>
        <v>Pseydonymous Bosch</v>
      </c>
      <c r="C92">
        <v>2011</v>
      </c>
      <c r="D92">
        <v>2011</v>
      </c>
      <c r="E92">
        <v>2011</v>
      </c>
      <c r="F92">
        <v>2011</v>
      </c>
    </row>
    <row r="93" spans="1:15" x14ac:dyDescent="0.35">
      <c r="A93" t="str">
        <v>Michael Chrichton</v>
      </c>
      <c r="B93" t="str">
        <f>books!B93</f>
        <v>Michael Chrichton</v>
      </c>
      <c r="C93">
        <v>2014</v>
      </c>
    </row>
    <row r="94" spans="1:15" x14ac:dyDescent="0.35">
      <c r="A94" t="str">
        <v>Naomi Klein</v>
      </c>
      <c r="B94" t="str">
        <f>books!B94</f>
        <v>Naomi Klein</v>
      </c>
      <c r="C94">
        <v>2015</v>
      </c>
    </row>
    <row r="95" spans="1:15" x14ac:dyDescent="0.35">
      <c r="A95" t="str">
        <v>Ta-Nehisi Coates</v>
      </c>
      <c r="B95" t="str">
        <f>books!B95</f>
        <v>Ta-Nehisi Coates</v>
      </c>
      <c r="C95">
        <v>2016</v>
      </c>
      <c r="D95">
        <v>2020</v>
      </c>
    </row>
    <row r="96" spans="1:15" x14ac:dyDescent="0.35">
      <c r="A96" t="str">
        <v>Mosab Yousef</v>
      </c>
      <c r="B96" t="str">
        <f>books!B96</f>
        <v>Mosab Yousef</v>
      </c>
      <c r="C96">
        <v>2014</v>
      </c>
    </row>
    <row r="97" spans="1:21" x14ac:dyDescent="0.35">
      <c r="A97" t="str">
        <v>S.E. Hinton</v>
      </c>
      <c r="B97" t="str">
        <f>books!B97</f>
        <v>S.E. Hinton</v>
      </c>
      <c r="C97">
        <v>2012</v>
      </c>
      <c r="D97">
        <v>2012</v>
      </c>
      <c r="E97">
        <v>2012</v>
      </c>
    </row>
    <row r="98" spans="1:21" x14ac:dyDescent="0.35">
      <c r="A98" t="str">
        <v>Lois Sachar</v>
      </c>
      <c r="B98" t="str">
        <f>books!B98</f>
        <v>Lois Sachar</v>
      </c>
      <c r="C98">
        <v>2007</v>
      </c>
      <c r="D98">
        <v>2007</v>
      </c>
      <c r="E98">
        <v>2007</v>
      </c>
    </row>
    <row r="99" spans="1:21" x14ac:dyDescent="0.35">
      <c r="A99" t="str">
        <v>Beverly Cleary</v>
      </c>
      <c r="B99" t="str">
        <f>books!B99</f>
        <v>Beverly Cleary</v>
      </c>
      <c r="C99">
        <v>2005</v>
      </c>
      <c r="D99">
        <v>2005</v>
      </c>
      <c r="E99">
        <v>2005</v>
      </c>
      <c r="F99">
        <v>2008</v>
      </c>
      <c r="G99">
        <v>2006</v>
      </c>
      <c r="H99">
        <v>2006</v>
      </c>
      <c r="I99">
        <v>2006</v>
      </c>
      <c r="J99">
        <v>2006</v>
      </c>
      <c r="K99">
        <v>2006</v>
      </c>
      <c r="L99">
        <v>2006</v>
      </c>
      <c r="M99">
        <v>2006</v>
      </c>
    </row>
    <row r="100" spans="1:21" x14ac:dyDescent="0.35">
      <c r="A100" t="str">
        <v>Hans Christian Andersen</v>
      </c>
      <c r="B100" t="str">
        <f>books!B100</f>
        <v>Hans Christian Andersen</v>
      </c>
      <c r="C100">
        <v>2008</v>
      </c>
    </row>
    <row r="101" spans="1:21" x14ac:dyDescent="0.35">
      <c r="A101" t="str">
        <v>George Selden</v>
      </c>
      <c r="B101" t="str">
        <f>books!B101</f>
        <v>George Selden</v>
      </c>
      <c r="C101">
        <v>2006</v>
      </c>
      <c r="D101">
        <v>2006</v>
      </c>
    </row>
    <row r="102" spans="1:21" x14ac:dyDescent="0.35">
      <c r="A102" t="str">
        <v>Susan Bartoletti</v>
      </c>
      <c r="B102" t="str">
        <f>books!B102</f>
        <v>Susan Bartoletti</v>
      </c>
      <c r="C102">
        <v>2009</v>
      </c>
      <c r="D102">
        <v>2009</v>
      </c>
    </row>
    <row r="103" spans="1:21" x14ac:dyDescent="0.35">
      <c r="A103" t="str">
        <v>Richard Bach</v>
      </c>
      <c r="B103" t="str">
        <f>books!B103</f>
        <v>Richard Bach</v>
      </c>
      <c r="C103">
        <v>2011</v>
      </c>
    </row>
    <row r="104" spans="1:21" x14ac:dyDescent="0.35">
      <c r="A104" t="str">
        <v>Chauser</v>
      </c>
      <c r="B104" t="str">
        <f>books!B104</f>
        <v>Chauser</v>
      </c>
      <c r="C104">
        <v>2008</v>
      </c>
    </row>
    <row r="105" spans="1:21" x14ac:dyDescent="0.35">
      <c r="A105" t="str">
        <v>Ann Petty</v>
      </c>
      <c r="B105" t="str">
        <f>books!B105</f>
        <v>Ann Petty</v>
      </c>
      <c r="C105">
        <v>2007</v>
      </c>
    </row>
    <row r="106" spans="1:21" x14ac:dyDescent="0.35">
      <c r="A106" t="str">
        <v>Kimberly Little</v>
      </c>
      <c r="B106" t="str">
        <f>books!B106</f>
        <v>Kimberly Little</v>
      </c>
      <c r="C106">
        <v>2009</v>
      </c>
    </row>
    <row r="107" spans="1:21" x14ac:dyDescent="0.35">
      <c r="A107" t="str">
        <v>Washington Ivring</v>
      </c>
      <c r="B107" t="e">
        <f>books!#REF!</f>
        <v>#REF!</v>
      </c>
      <c r="C107">
        <v>2006</v>
      </c>
    </row>
    <row r="108" spans="1:21" x14ac:dyDescent="0.35">
      <c r="A108" t="str">
        <v>Eva Ibbotson</v>
      </c>
      <c r="B108" t="str">
        <f>books!B107</f>
        <v>Washington Ivring</v>
      </c>
      <c r="C108">
        <v>2007</v>
      </c>
      <c r="D108">
        <v>2010</v>
      </c>
      <c r="E108">
        <v>2019</v>
      </c>
      <c r="F108">
        <v>2019</v>
      </c>
    </row>
    <row r="109" spans="1:21" x14ac:dyDescent="0.35">
      <c r="A109" t="str">
        <v xml:space="preserve">Kathryn Lasky </v>
      </c>
      <c r="B109" t="str">
        <f>books!B108</f>
        <v>Eva Ibbotson</v>
      </c>
      <c r="C109">
        <v>2008</v>
      </c>
      <c r="D109">
        <v>2009</v>
      </c>
      <c r="E109">
        <v>2009</v>
      </c>
      <c r="F109">
        <v>2009</v>
      </c>
      <c r="G109">
        <v>2009</v>
      </c>
      <c r="H109">
        <v>2009</v>
      </c>
      <c r="I109">
        <v>2009</v>
      </c>
      <c r="J109">
        <v>2009</v>
      </c>
      <c r="K109">
        <v>2009</v>
      </c>
      <c r="L109">
        <v>2009</v>
      </c>
      <c r="M109">
        <v>2009</v>
      </c>
      <c r="N109">
        <v>2009</v>
      </c>
      <c r="O109">
        <v>2009</v>
      </c>
      <c r="P109">
        <v>2009</v>
      </c>
      <c r="Q109">
        <v>2009</v>
      </c>
      <c r="R109">
        <v>2010</v>
      </c>
      <c r="S109">
        <v>2010</v>
      </c>
      <c r="T109">
        <v>2011</v>
      </c>
      <c r="U109">
        <v>2011</v>
      </c>
    </row>
    <row r="110" spans="1:21" x14ac:dyDescent="0.35">
      <c r="A110" t="str">
        <v>Janai Lowenstein</v>
      </c>
      <c r="B110" t="str">
        <f>books!B109</f>
        <v xml:space="preserve">Kathryn Lasky </v>
      </c>
      <c r="C110">
        <v>2012</v>
      </c>
    </row>
    <row r="111" spans="1:21" x14ac:dyDescent="0.35">
      <c r="A111" t="str">
        <v>Richard Adams</v>
      </c>
      <c r="B111" t="str">
        <f>books!B110</f>
        <v>Janai Lowenstein</v>
      </c>
      <c r="C111">
        <v>2013</v>
      </c>
    </row>
    <row r="112" spans="1:21" x14ac:dyDescent="0.35">
      <c r="A112" t="str">
        <v>Maria Trapp</v>
      </c>
      <c r="B112" t="str">
        <f>books!B111</f>
        <v>Richard Adams</v>
      </c>
      <c r="C112">
        <v>2006</v>
      </c>
    </row>
    <row r="113" spans="1:18" x14ac:dyDescent="0.35">
      <c r="A113" t="str">
        <v>Patrick Carman</v>
      </c>
      <c r="B113" t="str">
        <f>books!B112</f>
        <v>Maria Trapp</v>
      </c>
      <c r="C113">
        <v>2010</v>
      </c>
      <c r="D113">
        <v>2010</v>
      </c>
      <c r="E113">
        <v>2010</v>
      </c>
      <c r="F113">
        <v>2011</v>
      </c>
      <c r="G113">
        <v>2011</v>
      </c>
      <c r="H113">
        <v>2011</v>
      </c>
      <c r="I113">
        <v>2011</v>
      </c>
      <c r="J113">
        <v>2011</v>
      </c>
    </row>
    <row r="114" spans="1:18" x14ac:dyDescent="0.35">
      <c r="A114" t="str">
        <v>John Flanagan</v>
      </c>
      <c r="B114" t="str">
        <f>books!B113</f>
        <v>Patrick Carman</v>
      </c>
      <c r="C114">
        <v>2009</v>
      </c>
      <c r="D114">
        <v>2009</v>
      </c>
      <c r="E114">
        <v>2009</v>
      </c>
      <c r="F114">
        <v>2009</v>
      </c>
      <c r="G114">
        <v>2009</v>
      </c>
      <c r="H114">
        <v>2009</v>
      </c>
      <c r="I114">
        <v>2009</v>
      </c>
      <c r="J114">
        <v>2009</v>
      </c>
      <c r="K114">
        <v>2009</v>
      </c>
      <c r="L114">
        <v>2010</v>
      </c>
      <c r="M114">
        <v>2014</v>
      </c>
      <c r="N114">
        <v>2012</v>
      </c>
      <c r="O114">
        <v>2012</v>
      </c>
      <c r="P114">
        <v>2012</v>
      </c>
      <c r="Q114">
        <v>2014</v>
      </c>
      <c r="R114">
        <v>2017</v>
      </c>
    </row>
    <row r="115" spans="1:18" x14ac:dyDescent="0.35">
      <c r="A115" t="str">
        <v>Eoin Colfer</v>
      </c>
      <c r="B115" t="str">
        <f>books!B114</f>
        <v>John Flanagan</v>
      </c>
      <c r="C115">
        <v>2010</v>
      </c>
      <c r="D115">
        <v>2010</v>
      </c>
      <c r="E115">
        <v>2010</v>
      </c>
      <c r="F115">
        <v>2010</v>
      </c>
      <c r="G115">
        <v>2010</v>
      </c>
      <c r="H115">
        <v>2010</v>
      </c>
      <c r="I115">
        <v>2010</v>
      </c>
      <c r="J115">
        <v>2012</v>
      </c>
      <c r="K115">
        <v>2014</v>
      </c>
    </row>
    <row r="116" spans="1:18" x14ac:dyDescent="0.35">
      <c r="A116" t="str">
        <v>Catherine Fisher</v>
      </c>
      <c r="B116" t="str">
        <f>books!B115</f>
        <v>Eoin Colfer</v>
      </c>
      <c r="C116">
        <v>2012</v>
      </c>
      <c r="D116">
        <v>2012</v>
      </c>
      <c r="E116">
        <v>2013</v>
      </c>
    </row>
    <row r="117" spans="1:18" x14ac:dyDescent="0.35">
      <c r="A117" t="str">
        <v>Elizabeth Kay</v>
      </c>
      <c r="B117" t="str">
        <f>books!B116</f>
        <v>Catherine Fisher</v>
      </c>
      <c r="C117">
        <v>2011</v>
      </c>
      <c r="D117">
        <v>2011</v>
      </c>
      <c r="E117">
        <v>2011</v>
      </c>
    </row>
    <row r="118" spans="1:18" x14ac:dyDescent="0.35">
      <c r="A118" t="str">
        <v>Carole Wilkinson</v>
      </c>
      <c r="B118" t="str">
        <f>books!B117</f>
        <v>Elizabeth Kay</v>
      </c>
      <c r="C118">
        <v>2008</v>
      </c>
    </row>
    <row r="119" spans="1:18" x14ac:dyDescent="0.35">
      <c r="A119" t="str">
        <v>Scott Westerfeld</v>
      </c>
      <c r="B119" t="str">
        <f>books!B118</f>
        <v>Carole Wilkinson</v>
      </c>
      <c r="C119">
        <v>2013</v>
      </c>
      <c r="D119">
        <v>2013</v>
      </c>
      <c r="E119">
        <v>2013</v>
      </c>
    </row>
    <row r="120" spans="1:18" x14ac:dyDescent="0.35">
      <c r="A120" t="str">
        <v>Orson Scott Card</v>
      </c>
      <c r="B120" t="str">
        <f>books!B119</f>
        <v>Scott Westerfeld</v>
      </c>
      <c r="C120">
        <v>2015</v>
      </c>
      <c r="D120">
        <v>2016</v>
      </c>
      <c r="E120">
        <v>2017</v>
      </c>
      <c r="F120">
        <v>2017</v>
      </c>
      <c r="G120">
        <v>2019</v>
      </c>
      <c r="H120">
        <v>2019</v>
      </c>
      <c r="I120">
        <v>2019</v>
      </c>
      <c r="J120">
        <v>2019</v>
      </c>
      <c r="K120">
        <v>2019</v>
      </c>
      <c r="L120">
        <v>2019</v>
      </c>
      <c r="M120">
        <v>2020</v>
      </c>
    </row>
    <row r="121" spans="1:18" x14ac:dyDescent="0.35">
      <c r="A121" t="str">
        <v>Jeanne DuPrau</v>
      </c>
      <c r="B121" t="str">
        <f>books!B120</f>
        <v>Orson Scott Card</v>
      </c>
      <c r="C121">
        <v>2009</v>
      </c>
      <c r="D121">
        <v>2009</v>
      </c>
      <c r="E121">
        <v>2009</v>
      </c>
      <c r="F121">
        <v>2009</v>
      </c>
    </row>
    <row r="122" spans="1:18" x14ac:dyDescent="0.35">
      <c r="A122" t="str">
        <v>Harper Lee</v>
      </c>
      <c r="B122" t="str">
        <f>books!B121</f>
        <v>Jeanne DuPrau</v>
      </c>
      <c r="C122">
        <v>2013</v>
      </c>
    </row>
    <row r="123" spans="1:18" x14ac:dyDescent="0.35">
      <c r="A123" t="str">
        <v>Michael Scott</v>
      </c>
      <c r="B123" t="str">
        <f>books!B122</f>
        <v>Harper Lee</v>
      </c>
      <c r="C123">
        <v>2011</v>
      </c>
      <c r="D123">
        <v>2011</v>
      </c>
      <c r="E123">
        <v>2011</v>
      </c>
      <c r="F123">
        <v>2011</v>
      </c>
      <c r="G123">
        <v>2011</v>
      </c>
      <c r="H123">
        <v>2012</v>
      </c>
    </row>
    <row r="124" spans="1:18" x14ac:dyDescent="0.35">
      <c r="A124" t="str">
        <v>Lucy Montgomery</v>
      </c>
      <c r="B124" t="str">
        <f>books!B123</f>
        <v>Michael Scott</v>
      </c>
      <c r="C124">
        <v>2010</v>
      </c>
      <c r="D124">
        <v>2010</v>
      </c>
      <c r="E124">
        <v>2010</v>
      </c>
      <c r="F124">
        <v>2010</v>
      </c>
      <c r="G124">
        <v>2010</v>
      </c>
      <c r="H124">
        <v>2010</v>
      </c>
      <c r="I124">
        <v>2010</v>
      </c>
      <c r="J124">
        <v>2010</v>
      </c>
    </row>
    <row r="125" spans="1:18" x14ac:dyDescent="0.35">
      <c r="A125" t="str">
        <v>Bruce Coville</v>
      </c>
      <c r="B125" t="str">
        <f>books!B124</f>
        <v>Lucy Montgomery</v>
      </c>
      <c r="C125">
        <v>2004</v>
      </c>
      <c r="D125">
        <v>2004</v>
      </c>
      <c r="E125">
        <v>2005</v>
      </c>
      <c r="F125">
        <v>2006</v>
      </c>
    </row>
    <row r="126" spans="1:18" x14ac:dyDescent="0.35">
      <c r="A126" t="str">
        <v>Robert Stevenson</v>
      </c>
      <c r="B126" t="str">
        <f>books!B125</f>
        <v>Bruce Coville</v>
      </c>
      <c r="C126">
        <v>2006</v>
      </c>
    </row>
    <row r="127" spans="1:18" x14ac:dyDescent="0.35">
      <c r="A127" t="str">
        <v>Conor Kostick</v>
      </c>
      <c r="B127" t="str">
        <f>books!B126</f>
        <v>Robert Stevenson</v>
      </c>
      <c r="C127">
        <v>2011</v>
      </c>
      <c r="D127">
        <v>2013</v>
      </c>
    </row>
    <row r="128" spans="1:18" x14ac:dyDescent="0.35">
      <c r="A128" t="str">
        <v>Edward Eager</v>
      </c>
      <c r="B128" t="str">
        <f>books!B127</f>
        <v>Conor Kostick</v>
      </c>
      <c r="C128">
        <v>2006</v>
      </c>
      <c r="D128">
        <v>2006</v>
      </c>
      <c r="E128">
        <v>2006</v>
      </c>
    </row>
    <row r="129" spans="1:14" x14ac:dyDescent="0.35">
      <c r="A129" t="str">
        <v>Michael Grant</v>
      </c>
      <c r="B129" t="str">
        <f>books!B128</f>
        <v>Edward Eager</v>
      </c>
      <c r="C129">
        <v>2014</v>
      </c>
      <c r="D129">
        <v>2014</v>
      </c>
      <c r="E129">
        <v>2014</v>
      </c>
      <c r="F129">
        <v>2014</v>
      </c>
      <c r="G129">
        <v>2014</v>
      </c>
      <c r="H129">
        <v>2014</v>
      </c>
    </row>
    <row r="130" spans="1:14" x14ac:dyDescent="0.35">
      <c r="A130" t="str">
        <v>Jean George</v>
      </c>
      <c r="B130" t="str">
        <f>books!B129</f>
        <v>Michael Grant</v>
      </c>
      <c r="C130">
        <v>2010</v>
      </c>
      <c r="D130">
        <v>2010</v>
      </c>
      <c r="E130">
        <v>2009</v>
      </c>
      <c r="F130">
        <v>2010</v>
      </c>
      <c r="G130">
        <v>2011</v>
      </c>
      <c r="H130">
        <v>2012</v>
      </c>
      <c r="I130">
        <v>2012</v>
      </c>
      <c r="J130">
        <v>2012</v>
      </c>
      <c r="K130">
        <v>2006</v>
      </c>
      <c r="L130">
        <v>2006</v>
      </c>
      <c r="M130">
        <v>2007</v>
      </c>
      <c r="N130">
        <v>2009</v>
      </c>
    </row>
    <row r="131" spans="1:14" x14ac:dyDescent="0.35">
      <c r="A131" t="str">
        <v>Maia Wojciechowska</v>
      </c>
      <c r="B131" t="str">
        <f>books!B130</f>
        <v>Jean George</v>
      </c>
      <c r="C131">
        <v>2007</v>
      </c>
    </row>
    <row r="132" spans="1:14" x14ac:dyDescent="0.35">
      <c r="A132" t="str">
        <v>Jules Verne</v>
      </c>
      <c r="B132" t="str">
        <f>books!B131</f>
        <v>Maia Wojciechowska</v>
      </c>
      <c r="C132">
        <v>2012</v>
      </c>
      <c r="D132">
        <v>2012</v>
      </c>
    </row>
    <row r="133" spans="1:14" x14ac:dyDescent="0.35">
      <c r="A133" t="str">
        <v>William Bligh</v>
      </c>
      <c r="B133" t="str">
        <f>books!B132</f>
        <v>Jules Verne</v>
      </c>
      <c r="C133">
        <v>2012</v>
      </c>
    </row>
    <row r="134" spans="1:14" x14ac:dyDescent="0.35">
      <c r="A134" t="str">
        <v>Eisenberg</v>
      </c>
      <c r="B134" t="str">
        <f>books!B133</f>
        <v>William Bligh</v>
      </c>
      <c r="C134">
        <v>2008</v>
      </c>
    </row>
    <row r="135" spans="1:14" x14ac:dyDescent="0.35">
      <c r="A135" t="str">
        <v>Edith Hamilton</v>
      </c>
      <c r="B135" t="str">
        <f>books!B134</f>
        <v>Eisenberg</v>
      </c>
      <c r="C135">
        <v>2013</v>
      </c>
    </row>
    <row r="136" spans="1:14" x14ac:dyDescent="0.35">
      <c r="A136" t="str">
        <v>Tom Clancy</v>
      </c>
      <c r="B136" t="str">
        <f>books!B135</f>
        <v>Edith Hamilton</v>
      </c>
      <c r="C136">
        <v>2010</v>
      </c>
    </row>
    <row r="137" spans="1:14" x14ac:dyDescent="0.35">
      <c r="A137" t="str">
        <v>Mark Walden</v>
      </c>
      <c r="B137" t="str">
        <f>books!B136</f>
        <v>Tom Clancy</v>
      </c>
      <c r="C137">
        <v>2011</v>
      </c>
      <c r="D137">
        <v>2011</v>
      </c>
      <c r="E137">
        <v>2011</v>
      </c>
      <c r="F137">
        <v>2011</v>
      </c>
      <c r="G137">
        <v>2011</v>
      </c>
      <c r="H137">
        <v>2011</v>
      </c>
      <c r="I137">
        <v>2011</v>
      </c>
      <c r="J137">
        <v>2011</v>
      </c>
    </row>
    <row r="138" spans="1:14" x14ac:dyDescent="0.35">
      <c r="A138" t="str">
        <v>Elizabeth Winthrop</v>
      </c>
      <c r="B138" t="str">
        <f>books!B137</f>
        <v>Mark Walden</v>
      </c>
      <c r="C138">
        <v>2006</v>
      </c>
      <c r="D138">
        <v>2006</v>
      </c>
    </row>
    <row r="139" spans="1:14" x14ac:dyDescent="0.35">
      <c r="A139" t="str">
        <v>Jane Conly</v>
      </c>
      <c r="B139" t="str">
        <f>books!B138</f>
        <v>Elizabeth Winthrop</v>
      </c>
      <c r="C139">
        <v>2013</v>
      </c>
      <c r="D139">
        <v>2013</v>
      </c>
    </row>
    <row r="140" spans="1:14" x14ac:dyDescent="0.35">
      <c r="A140" t="str">
        <v>Jack London</v>
      </c>
      <c r="B140" t="str">
        <f>books!B139</f>
        <v>Jane Conly</v>
      </c>
      <c r="C140">
        <v>2010</v>
      </c>
      <c r="D140">
        <v>2011</v>
      </c>
    </row>
    <row r="141" spans="1:14" x14ac:dyDescent="0.35">
      <c r="A141" t="str">
        <v>F. Scott Fitzgerald</v>
      </c>
      <c r="B141" t="str">
        <f>books!B140</f>
        <v>Jack London</v>
      </c>
      <c r="C141">
        <v>2014</v>
      </c>
    </row>
    <row r="142" spans="1:14" x14ac:dyDescent="0.35">
      <c r="A142" t="str">
        <v>Lousia May Alcott</v>
      </c>
      <c r="B142" t="str">
        <f>books!B141</f>
        <v>F. Scott Fitzgerald</v>
      </c>
      <c r="C142">
        <v>2013</v>
      </c>
      <c r="D142">
        <v>2013</v>
      </c>
      <c r="E142">
        <v>2013</v>
      </c>
    </row>
    <row r="143" spans="1:14" x14ac:dyDescent="0.35">
      <c r="A143" t="str">
        <v>Margaret Mitchell</v>
      </c>
      <c r="B143" t="str">
        <f>books!B142</f>
        <v>Lousia May Alcott</v>
      </c>
      <c r="C143">
        <v>2011</v>
      </c>
    </row>
    <row r="144" spans="1:14" x14ac:dyDescent="0.35">
      <c r="A144" t="str">
        <v>Mildred Taylor</v>
      </c>
      <c r="B144" t="str">
        <f>books!B143</f>
        <v>Margaret Mitchell</v>
      </c>
      <c r="C144">
        <v>2009</v>
      </c>
      <c r="D144">
        <v>2010</v>
      </c>
      <c r="E144">
        <v>2010</v>
      </c>
      <c r="F144">
        <v>2010</v>
      </c>
      <c r="G144">
        <v>2010</v>
      </c>
    </row>
    <row r="145" spans="1:10" x14ac:dyDescent="0.35">
      <c r="A145" t="str">
        <v>Sandra Cisneros</v>
      </c>
      <c r="B145" t="str">
        <f>books!B144</f>
        <v>Mildred Taylor</v>
      </c>
      <c r="C145">
        <v>2017</v>
      </c>
    </row>
    <row r="146" spans="1:10" x14ac:dyDescent="0.35">
      <c r="A146" t="str">
        <v>James Cooper</v>
      </c>
      <c r="B146" t="str">
        <f>books!B145</f>
        <v>Sandra Cisneros</v>
      </c>
      <c r="C146">
        <v>2008</v>
      </c>
    </row>
    <row r="147" spans="1:10" x14ac:dyDescent="0.35">
      <c r="A147" t="str">
        <v>Karen Hesse</v>
      </c>
      <c r="B147" t="str">
        <f>books!B146</f>
        <v>James Cooper</v>
      </c>
      <c r="C147">
        <v>2008</v>
      </c>
    </row>
    <row r="148" spans="1:10" x14ac:dyDescent="0.35">
      <c r="A148" t="str">
        <v>Hugh Lofting</v>
      </c>
      <c r="B148" t="str">
        <f>books!B147</f>
        <v>Karen Hesse</v>
      </c>
      <c r="C148">
        <v>2007</v>
      </c>
      <c r="D148">
        <v>2008</v>
      </c>
      <c r="E148">
        <v>2008</v>
      </c>
    </row>
    <row r="149" spans="1:10" x14ac:dyDescent="0.35">
      <c r="A149" t="str">
        <v>New Scientist</v>
      </c>
      <c r="B149" t="str">
        <f>books!B148</f>
        <v>Hugh Lofting</v>
      </c>
      <c r="C149">
        <v>2010</v>
      </c>
      <c r="D149">
        <v>2010</v>
      </c>
    </row>
    <row r="150" spans="1:10" x14ac:dyDescent="0.35">
      <c r="A150" t="str">
        <v>Padraic Colum</v>
      </c>
      <c r="B150" t="str">
        <f>books!B149</f>
        <v>New Scientist</v>
      </c>
      <c r="C150">
        <v>2014</v>
      </c>
    </row>
    <row r="151" spans="1:10" x14ac:dyDescent="0.35">
      <c r="A151" t="str">
        <v>Dorothy Haas</v>
      </c>
      <c r="B151" t="str">
        <f>books!B150</f>
        <v>Padraic Colum</v>
      </c>
      <c r="C151">
        <v>2008</v>
      </c>
    </row>
    <row r="152" spans="1:10" x14ac:dyDescent="0.35">
      <c r="A152" t="str">
        <v>Tony Hillerman</v>
      </c>
      <c r="B152" t="str">
        <f>books!B151</f>
        <v>Dorothy Haas</v>
      </c>
      <c r="C152">
        <v>2009</v>
      </c>
    </row>
    <row r="153" spans="1:10" x14ac:dyDescent="0.35">
      <c r="A153" t="str">
        <v>Dick King-Smith</v>
      </c>
      <c r="B153" t="str">
        <f>books!B152</f>
        <v>Tony Hillerman</v>
      </c>
      <c r="C153">
        <v>2007</v>
      </c>
      <c r="D153">
        <v>2007</v>
      </c>
      <c r="E153">
        <v>2007</v>
      </c>
      <c r="F153">
        <v>2008</v>
      </c>
      <c r="G153">
        <v>2007</v>
      </c>
      <c r="H153">
        <v>2008</v>
      </c>
      <c r="I153">
        <v>2008</v>
      </c>
      <c r="J153">
        <v>2009</v>
      </c>
    </row>
    <row r="154" spans="1:10" x14ac:dyDescent="0.35">
      <c r="A154" t="str">
        <v>Bertrand Brinley</v>
      </c>
      <c r="B154" t="str">
        <f>books!B153</f>
        <v>Dick King-Smith</v>
      </c>
      <c r="C154">
        <v>2004</v>
      </c>
    </row>
    <row r="155" spans="1:10" x14ac:dyDescent="0.35">
      <c r="A155" t="str">
        <v>Mary Dodge</v>
      </c>
      <c r="B155" t="str">
        <f>books!B154</f>
        <v>Bertrand Brinley</v>
      </c>
      <c r="C155">
        <v>2013</v>
      </c>
    </row>
    <row r="156" spans="1:10" x14ac:dyDescent="0.35">
      <c r="A156" t="str">
        <v>Eve Curie</v>
      </c>
      <c r="B156" t="str">
        <f>books!B155</f>
        <v>Mary Dodge</v>
      </c>
      <c r="C156">
        <v>2011</v>
      </c>
    </row>
    <row r="157" spans="1:10" x14ac:dyDescent="0.35">
      <c r="A157" t="str">
        <v>C.S. Forester</v>
      </c>
      <c r="B157" t="str">
        <f>books!B156</f>
        <v>Eve Curie</v>
      </c>
      <c r="C157">
        <v>2010</v>
      </c>
    </row>
    <row r="158" spans="1:10" x14ac:dyDescent="0.35">
      <c r="A158" t="str">
        <v>Daniel Defoe</v>
      </c>
      <c r="B158" t="str">
        <f>books!B157</f>
        <v>C.S. Forester</v>
      </c>
      <c r="C158">
        <v>2012</v>
      </c>
    </row>
    <row r="159" spans="1:10" x14ac:dyDescent="0.35">
      <c r="A159" t="str">
        <v>Rudyard Kipling</v>
      </c>
      <c r="B159" t="str">
        <f>books!B158</f>
        <v>Daniel Defoe</v>
      </c>
      <c r="C159">
        <v>2013</v>
      </c>
      <c r="D159">
        <v>2009</v>
      </c>
    </row>
    <row r="160" spans="1:10" x14ac:dyDescent="0.35">
      <c r="A160" t="str">
        <v>Helen Keller</v>
      </c>
      <c r="B160" t="str">
        <f>books!B159</f>
        <v>Rudyard Kipling</v>
      </c>
      <c r="C160">
        <v>2015</v>
      </c>
    </row>
    <row r="161" spans="1:6" x14ac:dyDescent="0.35">
      <c r="A161" t="str">
        <v>Kate Thompson</v>
      </c>
      <c r="B161" t="str">
        <f>books!B160</f>
        <v>Helen Keller</v>
      </c>
      <c r="C161">
        <v>2013</v>
      </c>
    </row>
    <row r="162" spans="1:6" x14ac:dyDescent="0.35">
      <c r="A162" t="str">
        <v>Milton Meltzer</v>
      </c>
      <c r="B162" t="str">
        <f>books!B161</f>
        <v>Kate Thompson</v>
      </c>
      <c r="C162">
        <v>2007</v>
      </c>
    </row>
    <row r="163" spans="1:6" x14ac:dyDescent="0.35">
      <c r="A163" t="str">
        <v>Douglas Adams</v>
      </c>
      <c r="B163" t="str">
        <f>books!B162</f>
        <v>Milton Meltzer</v>
      </c>
      <c r="C163">
        <v>2010</v>
      </c>
      <c r="D163">
        <v>2010</v>
      </c>
      <c r="E163">
        <v>2010</v>
      </c>
      <c r="F163">
        <v>2010</v>
      </c>
    </row>
    <row r="164" spans="1:6" x14ac:dyDescent="0.35">
      <c r="A164" t="str">
        <v>Jonathon Swift</v>
      </c>
      <c r="B164" t="str">
        <f>books!B163</f>
        <v>Douglas Adams</v>
      </c>
      <c r="C164">
        <v>2008</v>
      </c>
    </row>
    <row r="165" spans="1:6" x14ac:dyDescent="0.35">
      <c r="A165" t="str">
        <v>Jerry Spinelli</v>
      </c>
      <c r="B165" t="str">
        <f>books!B164</f>
        <v>Jonathon Swift</v>
      </c>
      <c r="C165">
        <v>2009</v>
      </c>
      <c r="D165">
        <v>2009</v>
      </c>
    </row>
    <row r="166" spans="1:6" x14ac:dyDescent="0.35">
      <c r="A166" t="str">
        <v>Scott O'Dell</v>
      </c>
      <c r="B166" t="str">
        <f>books!B165</f>
        <v>Jerry Spinelli</v>
      </c>
      <c r="C166">
        <v>2011</v>
      </c>
    </row>
    <row r="167" spans="1:6" x14ac:dyDescent="0.35">
      <c r="A167" t="str">
        <v>Louis Sachar</v>
      </c>
      <c r="B167" t="str">
        <f>books!B166</f>
        <v>Scott O'Dell</v>
      </c>
      <c r="C167">
        <v>2012</v>
      </c>
      <c r="D167">
        <v>2012</v>
      </c>
    </row>
    <row r="168" spans="1:6" x14ac:dyDescent="0.35">
      <c r="A168" t="str">
        <v>Patricia Maclachlan</v>
      </c>
      <c r="B168" t="str">
        <f>books!B167</f>
        <v>Louis Sachar</v>
      </c>
      <c r="C168">
        <v>2009</v>
      </c>
    </row>
    <row r="169" spans="1:6" x14ac:dyDescent="0.35">
      <c r="A169" t="str">
        <v>Elizabeth George</v>
      </c>
      <c r="B169" t="str">
        <f>books!B168</f>
        <v>Patricia Maclachlan</v>
      </c>
      <c r="C169">
        <v>2006</v>
      </c>
    </row>
    <row r="170" spans="1:6" x14ac:dyDescent="0.35">
      <c r="A170" t="str">
        <v>Kate DiCamillo</v>
      </c>
      <c r="B170" t="str">
        <f>books!B169</f>
        <v>Elizabeth George</v>
      </c>
      <c r="C170">
        <v>2004</v>
      </c>
      <c r="D170">
        <v>2006</v>
      </c>
    </row>
    <row r="171" spans="1:6" x14ac:dyDescent="0.35">
      <c r="A171" t="str">
        <v>Polly Horvath</v>
      </c>
      <c r="B171" t="str">
        <f>books!B170</f>
        <v>Kate DiCamillo</v>
      </c>
      <c r="C171">
        <v>2009</v>
      </c>
    </row>
    <row r="172" spans="1:6" x14ac:dyDescent="0.35">
      <c r="A172" t="str">
        <v>Stephanie S. Tolan</v>
      </c>
      <c r="B172" t="str">
        <f>books!B171</f>
        <v>Polly Horvath</v>
      </c>
      <c r="C172">
        <v>2009</v>
      </c>
    </row>
    <row r="173" spans="1:6" x14ac:dyDescent="0.35">
      <c r="A173" t="str">
        <v>Sharon Creech</v>
      </c>
      <c r="B173" t="str">
        <f>books!B172</f>
        <v>Stephanie S. Tolan</v>
      </c>
      <c r="C173">
        <v>2012</v>
      </c>
      <c r="D173">
        <v>2012</v>
      </c>
      <c r="E173">
        <v>2013</v>
      </c>
      <c r="F173">
        <v>2014</v>
      </c>
    </row>
    <row r="174" spans="1:6" x14ac:dyDescent="0.35">
      <c r="A174" t="str">
        <v>Gail Levine</v>
      </c>
      <c r="B174" t="str">
        <f>books!B173</f>
        <v>Sharon Creech</v>
      </c>
      <c r="C174">
        <v>2006</v>
      </c>
    </row>
    <row r="175" spans="1:6" x14ac:dyDescent="0.35">
      <c r="A175" t="str">
        <v>Eloise McGraw</v>
      </c>
      <c r="B175" t="str">
        <f>books!B174</f>
        <v>Gail Levine</v>
      </c>
      <c r="C175">
        <v>2005</v>
      </c>
    </row>
    <row r="176" spans="1:6" x14ac:dyDescent="0.35">
      <c r="A176" t="str">
        <v>Elizabeth Speare</v>
      </c>
      <c r="B176" t="str">
        <f>books!B175</f>
        <v>Eloise McGraw</v>
      </c>
      <c r="C176">
        <v>2006</v>
      </c>
    </row>
    <row r="177" spans="1:8" x14ac:dyDescent="0.35">
      <c r="A177" t="str">
        <v>Cynthia Voigt</v>
      </c>
      <c r="B177" t="str">
        <f>books!B176</f>
        <v>Elizabeth Speare</v>
      </c>
      <c r="C177">
        <v>2011</v>
      </c>
      <c r="D177">
        <v>2011</v>
      </c>
      <c r="E177">
        <v>2011</v>
      </c>
      <c r="F177">
        <v>2011</v>
      </c>
    </row>
    <row r="178" spans="1:8" x14ac:dyDescent="0.35">
      <c r="A178" t="str">
        <v>Betsy Byars</v>
      </c>
      <c r="B178" t="str">
        <f>books!B177</f>
        <v>Cynthia Voigt</v>
      </c>
      <c r="C178">
        <v>2011</v>
      </c>
      <c r="D178">
        <v>2009</v>
      </c>
    </row>
    <row r="179" spans="1:8" x14ac:dyDescent="0.35">
      <c r="A179" t="str">
        <v>Lloyd Alexander</v>
      </c>
      <c r="B179" t="str">
        <f>books!B178</f>
        <v>Betsy Byars</v>
      </c>
      <c r="C179">
        <v>2006</v>
      </c>
      <c r="D179">
        <v>2006</v>
      </c>
      <c r="E179">
        <v>2006</v>
      </c>
      <c r="F179">
        <v>2013</v>
      </c>
      <c r="G179">
        <v>2013</v>
      </c>
      <c r="H179">
        <v>2014</v>
      </c>
    </row>
    <row r="180" spans="1:8" x14ac:dyDescent="0.35">
      <c r="A180" t="str">
        <v>George Orwell</v>
      </c>
      <c r="B180" t="str">
        <f>books!B179</f>
        <v>Lloyd Alexander</v>
      </c>
      <c r="C180">
        <v>2014</v>
      </c>
      <c r="D180">
        <v>2013</v>
      </c>
    </row>
    <row r="181" spans="1:8" x14ac:dyDescent="0.35">
      <c r="A181" t="str">
        <v>Terry Pratchett</v>
      </c>
      <c r="B181" t="str">
        <f>books!B180</f>
        <v>George Orwell</v>
      </c>
      <c r="C181">
        <v>2010</v>
      </c>
    </row>
    <row r="182" spans="1:8" x14ac:dyDescent="0.35">
      <c r="A182" t="str">
        <v>Natalie Savage</v>
      </c>
      <c r="B182" t="str">
        <f>books!B181</f>
        <v>Terry Pratchett</v>
      </c>
      <c r="C182">
        <v>2007</v>
      </c>
    </row>
    <row r="183" spans="1:8" x14ac:dyDescent="0.35">
      <c r="A183" t="str">
        <v>Meindert DeJong</v>
      </c>
      <c r="B183" t="str">
        <f>books!B182</f>
        <v>Natalie Savage</v>
      </c>
      <c r="C183">
        <v>2006</v>
      </c>
    </row>
    <row r="184" spans="1:8" x14ac:dyDescent="0.35">
      <c r="A184" t="str">
        <v>E.B. White</v>
      </c>
      <c r="B184" t="str">
        <f>books!B183</f>
        <v>Meindert DeJong</v>
      </c>
      <c r="C184">
        <v>2004</v>
      </c>
      <c r="D184">
        <v>2005</v>
      </c>
      <c r="E184">
        <v>2006</v>
      </c>
    </row>
    <row r="185" spans="1:8" x14ac:dyDescent="0.35">
      <c r="A185" t="str">
        <v>E. Nesbit</v>
      </c>
      <c r="B185" t="str">
        <f>books!B184</f>
        <v>E.B. White</v>
      </c>
      <c r="C185">
        <v>2008</v>
      </c>
      <c r="D185">
        <v>2008</v>
      </c>
      <c r="E185">
        <v>2008</v>
      </c>
      <c r="F185">
        <v>2008</v>
      </c>
    </row>
    <row r="186" spans="1:8" x14ac:dyDescent="0.35">
      <c r="A186" t="str">
        <v>Ruth Gannett</v>
      </c>
      <c r="B186" t="str">
        <f>books!B185</f>
        <v>E. Nesbit</v>
      </c>
      <c r="C186">
        <v>2006</v>
      </c>
      <c r="D186">
        <v>2006</v>
      </c>
      <c r="E186">
        <v>2006</v>
      </c>
    </row>
    <row r="187" spans="1:8" x14ac:dyDescent="0.35">
      <c r="A187" t="str">
        <v>Will James</v>
      </c>
      <c r="B187" t="str">
        <f>books!B186</f>
        <v>Ruth Gannett</v>
      </c>
      <c r="C187">
        <v>2008</v>
      </c>
    </row>
    <row r="188" spans="1:8" x14ac:dyDescent="0.35">
      <c r="A188" t="str">
        <v>David Goding</v>
      </c>
      <c r="B188" t="str">
        <f>books!B187</f>
        <v>Will James</v>
      </c>
      <c r="C188">
        <v>2009</v>
      </c>
    </row>
    <row r="189" spans="1:8" x14ac:dyDescent="0.35">
      <c r="A189" t="str">
        <v>Jay Thomas</v>
      </c>
      <c r="B189" t="str">
        <f>books!B188</f>
        <v>David Goding</v>
      </c>
      <c r="C189">
        <v>2013</v>
      </c>
    </row>
    <row r="190" spans="1:8" x14ac:dyDescent="0.35">
      <c r="A190" t="str">
        <v>Shel Silverstien</v>
      </c>
      <c r="B190" t="str">
        <f>books!B189</f>
        <v>Jay Thomas</v>
      </c>
      <c r="C190">
        <v>2005</v>
      </c>
    </row>
    <row r="191" spans="1:8" x14ac:dyDescent="0.35">
      <c r="A191" t="str">
        <v>Ryan Messmore</v>
      </c>
      <c r="B191" t="str">
        <f>books!B190</f>
        <v>Shel Silverstien</v>
      </c>
      <c r="C191">
        <v>2018</v>
      </c>
    </row>
    <row r="192" spans="1:8" x14ac:dyDescent="0.35">
      <c r="A192" t="str">
        <v>Greg Stier</v>
      </c>
      <c r="B192" t="str">
        <f>books!B191</f>
        <v>Ryan Messmore</v>
      </c>
      <c r="C192">
        <v>2014</v>
      </c>
    </row>
    <row r="193" spans="1:6" x14ac:dyDescent="0.35">
      <c r="A193" t="str">
        <v>Walter Farley</v>
      </c>
      <c r="B193" t="str">
        <f>books!B192</f>
        <v>Greg Stier</v>
      </c>
      <c r="C193">
        <v>2006</v>
      </c>
      <c r="D193">
        <v>2006</v>
      </c>
    </row>
    <row r="194" spans="1:6" x14ac:dyDescent="0.35">
      <c r="A194" t="str">
        <v>Laura Hope</v>
      </c>
      <c r="B194" t="str">
        <f>books!B193</f>
        <v>Walter Farley</v>
      </c>
      <c r="C194">
        <v>2007</v>
      </c>
      <c r="D194">
        <v>2007</v>
      </c>
      <c r="E194">
        <v>2007</v>
      </c>
      <c r="F194">
        <v>2007</v>
      </c>
    </row>
    <row r="195" spans="1:6" x14ac:dyDescent="0.35">
      <c r="A195" t="str">
        <v>Homer</v>
      </c>
      <c r="B195" t="str">
        <f>books!B194</f>
        <v>Laura Hope</v>
      </c>
      <c r="C195">
        <v>2012</v>
      </c>
      <c r="D195">
        <v>2012</v>
      </c>
    </row>
    <row r="196" spans="1:6" x14ac:dyDescent="0.35">
      <c r="A196" t="str">
        <v>Lewis Carroll</v>
      </c>
      <c r="B196" t="e">
        <f>books!#REF!</f>
        <v>#REF!</v>
      </c>
      <c r="C196">
        <v>2010</v>
      </c>
    </row>
    <row r="197" spans="1:6" x14ac:dyDescent="0.35">
      <c r="A197" t="str">
        <v>Franz Kafka</v>
      </c>
      <c r="B197" t="str">
        <f>books!B195</f>
        <v>Homer</v>
      </c>
      <c r="C197">
        <v>2017</v>
      </c>
      <c r="D197">
        <v>2017</v>
      </c>
    </row>
    <row r="198" spans="1:6" x14ac:dyDescent="0.35">
      <c r="A198" t="str">
        <v>Anonymous</v>
      </c>
      <c r="B198" t="e">
        <f>books!#REF!</f>
        <v>#REF!</v>
      </c>
      <c r="C198">
        <v>2013</v>
      </c>
    </row>
    <row r="199" spans="1:6" x14ac:dyDescent="0.35">
      <c r="A199" t="str">
        <v>Johann von Goethe</v>
      </c>
      <c r="B199" t="str">
        <f>books!B196</f>
        <v>Lewis Carroll</v>
      </c>
      <c r="C199">
        <v>2017</v>
      </c>
    </row>
    <row r="200" spans="1:6" x14ac:dyDescent="0.35">
      <c r="A200" t="str">
        <v>Brothers Grimm</v>
      </c>
      <c r="B200" t="str">
        <f>books!B197</f>
        <v>Franz Kafka</v>
      </c>
      <c r="C200">
        <v>2006</v>
      </c>
    </row>
    <row r="201" spans="1:6" x14ac:dyDescent="0.35">
      <c r="A201" t="str">
        <v>Joseph Conrad</v>
      </c>
      <c r="B201" t="str">
        <f>books!B198</f>
        <v>Anonymous</v>
      </c>
      <c r="C201">
        <v>2012</v>
      </c>
    </row>
    <row r="202" spans="1:6" x14ac:dyDescent="0.35">
      <c r="A202" t="str">
        <v>Johanna Spyri</v>
      </c>
      <c r="B202" t="str">
        <f>books!B199</f>
        <v>Johann von Goethe</v>
      </c>
      <c r="C202">
        <v>2010</v>
      </c>
    </row>
    <row r="203" spans="1:6" x14ac:dyDescent="0.35">
      <c r="A203" t="str">
        <v>Harriet Stowe</v>
      </c>
      <c r="B203" t="str">
        <f>books!B200</f>
        <v>Brothers Grimm</v>
      </c>
      <c r="C203">
        <v>2010</v>
      </c>
    </row>
    <row r="204" spans="1:6" x14ac:dyDescent="0.35">
      <c r="A204" t="str">
        <v>Alison Goodman</v>
      </c>
      <c r="B204" t="str">
        <f>books!B201</f>
        <v>Joseph Conrad</v>
      </c>
      <c r="C204">
        <v>2011</v>
      </c>
      <c r="D204">
        <v>2012</v>
      </c>
    </row>
    <row r="205" spans="1:6" x14ac:dyDescent="0.35">
      <c r="A205" t="str">
        <v>Margery Williams</v>
      </c>
      <c r="B205" t="str">
        <f>books!B202</f>
        <v>Johanna Spyri</v>
      </c>
      <c r="C205">
        <v>2007</v>
      </c>
    </row>
    <row r="206" spans="1:6" x14ac:dyDescent="0.35">
      <c r="A206" t="str">
        <v>Antoine de Saint-Exupery</v>
      </c>
      <c r="B206" t="str">
        <f>books!B203</f>
        <v>Harriet Stowe</v>
      </c>
      <c r="C206">
        <v>2009</v>
      </c>
    </row>
    <row r="207" spans="1:6" x14ac:dyDescent="0.35">
      <c r="A207" t="str">
        <v>Joseph Bruchac</v>
      </c>
      <c r="B207" t="str">
        <f>books!B204</f>
        <v>Alison Goodman</v>
      </c>
      <c r="C207">
        <v>2008</v>
      </c>
    </row>
    <row r="208" spans="1:6" x14ac:dyDescent="0.35">
      <c r="A208" t="str">
        <v>William Sleator</v>
      </c>
      <c r="B208" t="str">
        <f>books!B205</f>
        <v>Margery Williams</v>
      </c>
      <c r="C208">
        <v>2014</v>
      </c>
    </row>
    <row r="209" spans="1:6" x14ac:dyDescent="0.35">
      <c r="A209" t="str">
        <v>Mary Norton</v>
      </c>
      <c r="B209" t="str">
        <f>books!B206</f>
        <v>Antoine de Saint-Exupery</v>
      </c>
      <c r="C209">
        <v>2006</v>
      </c>
      <c r="D209">
        <v>2006</v>
      </c>
      <c r="E209">
        <v>2006</v>
      </c>
      <c r="F209">
        <v>2009</v>
      </c>
    </row>
    <row r="210" spans="1:6" x14ac:dyDescent="0.35">
      <c r="A210" t="str">
        <v>Carlo Collodi</v>
      </c>
      <c r="B210" t="str">
        <f>books!B207</f>
        <v>Joseph Bruchac</v>
      </c>
      <c r="C210">
        <v>2007</v>
      </c>
    </row>
    <row r="211" spans="1:6" x14ac:dyDescent="0.35">
      <c r="A211" t="str">
        <v>P.L. Travers</v>
      </c>
      <c r="B211" t="str">
        <f>books!B208</f>
        <v>William Sleator</v>
      </c>
      <c r="C211">
        <v>2012</v>
      </c>
      <c r="D211">
        <v>2012</v>
      </c>
      <c r="E211">
        <v>2012</v>
      </c>
      <c r="F211">
        <v>2012</v>
      </c>
    </row>
    <row r="212" spans="1:6" x14ac:dyDescent="0.35">
      <c r="A212" t="str">
        <v>Natalie Babbitt</v>
      </c>
      <c r="B212" t="str">
        <f>books!B209</f>
        <v>Mary Norton</v>
      </c>
      <c r="C212">
        <v>2011</v>
      </c>
    </row>
    <row r="213" spans="1:6" x14ac:dyDescent="0.35">
      <c r="A213" t="str">
        <v>Steve Corbett &amp; Brian Fikkert</v>
      </c>
      <c r="B213" t="str">
        <f>books!B210</f>
        <v>Carlo Collodi</v>
      </c>
      <c r="C213">
        <v>2014</v>
      </c>
    </row>
    <row r="214" spans="1:6" x14ac:dyDescent="0.35">
      <c r="A214" t="str">
        <v>Mike Lupica</v>
      </c>
      <c r="B214" t="str">
        <f>books!B211</f>
        <v>P.L. Travers</v>
      </c>
      <c r="C214">
        <v>2011</v>
      </c>
    </row>
    <row r="215" spans="1:6" x14ac:dyDescent="0.35">
      <c r="A215" t="str">
        <v>Elliot Coleman</v>
      </c>
      <c r="B215" t="str">
        <f>books!B212</f>
        <v>Natalie Babbitt</v>
      </c>
      <c r="C215">
        <v>2013</v>
      </c>
    </row>
    <row r="216" spans="1:6" x14ac:dyDescent="0.35">
      <c r="A216" t="str">
        <v>Women of China</v>
      </c>
      <c r="B216" t="str">
        <f>books!B213</f>
        <v>Steve Corbett &amp; Brian Fikkert</v>
      </c>
      <c r="C216">
        <v>2016</v>
      </c>
    </row>
    <row r="217" spans="1:6" x14ac:dyDescent="0.35">
      <c r="A217" t="str">
        <v>Jimmy Williams &amp; Susan Heeger</v>
      </c>
      <c r="B217" t="str">
        <f>books!B214</f>
        <v>Mike Lupica</v>
      </c>
      <c r="C217">
        <v>2013</v>
      </c>
    </row>
    <row r="218" spans="1:6" x14ac:dyDescent="0.35">
      <c r="A218" t="str">
        <v>William Danforth</v>
      </c>
      <c r="B218" t="str">
        <f>books!B215</f>
        <v>Elliot Coleman</v>
      </c>
      <c r="C218">
        <v>2015</v>
      </c>
    </row>
    <row r="219" spans="1:6" x14ac:dyDescent="0.35">
      <c r="A219" t="str">
        <v>Edward Bloor</v>
      </c>
      <c r="B219" t="str">
        <f>books!B216</f>
        <v>Women of China</v>
      </c>
      <c r="C219">
        <v>2011</v>
      </c>
    </row>
    <row r="220" spans="1:6" x14ac:dyDescent="0.35">
      <c r="A220" t="str">
        <v>Ernest Cline</v>
      </c>
      <c r="B220" t="str">
        <f>books!B217</f>
        <v>Jimmy Williams &amp; Susan Heeger</v>
      </c>
      <c r="C220">
        <v>2014</v>
      </c>
    </row>
    <row r="221" spans="1:6" x14ac:dyDescent="0.35">
      <c r="A221" t="str">
        <v>Dan Gutman</v>
      </c>
      <c r="B221" t="str">
        <f>books!B218</f>
        <v>William Danforth</v>
      </c>
      <c r="C221">
        <v>2008</v>
      </c>
      <c r="D221">
        <v>2009</v>
      </c>
      <c r="E221">
        <v>2009</v>
      </c>
    </row>
    <row r="222" spans="1:6" x14ac:dyDescent="0.35">
      <c r="A222" t="str">
        <v>Ben Mikaelsen</v>
      </c>
      <c r="B222" t="str">
        <f>books!B219</f>
        <v>Edward Bloor</v>
      </c>
      <c r="C222">
        <v>2009</v>
      </c>
      <c r="D222">
        <v>2009</v>
      </c>
      <c r="E222">
        <v>2011</v>
      </c>
      <c r="F222">
        <v>2011</v>
      </c>
    </row>
    <row r="223" spans="1:6" x14ac:dyDescent="0.35">
      <c r="A223" t="str">
        <v>Clarissa Estes</v>
      </c>
      <c r="B223" t="str">
        <f>books!B220</f>
        <v>Ernest Cline</v>
      </c>
      <c r="C223">
        <v>2014</v>
      </c>
    </row>
    <row r="224" spans="1:6" x14ac:dyDescent="0.35">
      <c r="A224" t="str">
        <v>Rafe Martin &amp; Susan Gaber</v>
      </c>
      <c r="B224" t="str">
        <f>books!B221</f>
        <v>Dan Gutman</v>
      </c>
      <c r="C224">
        <v>2004</v>
      </c>
    </row>
    <row r="225" spans="1:6" x14ac:dyDescent="0.35">
      <c r="A225" t="str">
        <v>Jane Yolen</v>
      </c>
      <c r="B225" t="str">
        <f>books!B222</f>
        <v>Ben Mikaelsen</v>
      </c>
      <c r="C225">
        <v>2008</v>
      </c>
    </row>
    <row r="226" spans="1:6" x14ac:dyDescent="0.35">
      <c r="A226" t="str">
        <v>Avi</v>
      </c>
      <c r="B226" t="str">
        <f>books!B223</f>
        <v>Clarissa Estes</v>
      </c>
      <c r="C226">
        <v>2007</v>
      </c>
      <c r="D226">
        <v>2007</v>
      </c>
      <c r="E226">
        <v>2008</v>
      </c>
      <c r="F226">
        <v>2021</v>
      </c>
    </row>
    <row r="227" spans="1:6" x14ac:dyDescent="0.35">
      <c r="A227" t="str">
        <v>Susan Sloate</v>
      </c>
      <c r="B227" t="str">
        <f>books!B224</f>
        <v>Rafe Martin &amp; Susan Gaber</v>
      </c>
      <c r="C227">
        <v>2006</v>
      </c>
    </row>
    <row r="228" spans="1:6" x14ac:dyDescent="0.35">
      <c r="A228" t="str">
        <v>Eleanor Coerr</v>
      </c>
      <c r="B228" t="str">
        <f>books!B225</f>
        <v>Jane Yolen</v>
      </c>
      <c r="C228">
        <v>2004</v>
      </c>
    </row>
    <row r="229" spans="1:6" x14ac:dyDescent="0.35">
      <c r="A229" t="str">
        <v>William Bridges</v>
      </c>
      <c r="B229" t="str">
        <f>books!B226</f>
        <v>Avi</v>
      </c>
      <c r="C229">
        <v>2015</v>
      </c>
    </row>
    <row r="230" spans="1:6" x14ac:dyDescent="0.35">
      <c r="A230" t="str">
        <v>Steve Shadrach</v>
      </c>
      <c r="B230" t="str">
        <f>books!B227</f>
        <v>Susan Sloate</v>
      </c>
      <c r="C230">
        <v>2015</v>
      </c>
    </row>
    <row r="231" spans="1:6" x14ac:dyDescent="0.35">
      <c r="A231" t="str">
        <v>R.M. Frazer</v>
      </c>
      <c r="B231" t="str">
        <f>books!B228</f>
        <v>Eleanor Coerr</v>
      </c>
      <c r="C231">
        <v>2016</v>
      </c>
    </row>
    <row r="232" spans="1:6" x14ac:dyDescent="0.35">
      <c r="A232" t="str">
        <v>Frances Goodrich</v>
      </c>
      <c r="B232" t="str">
        <f>books!B229</f>
        <v>William Bridges</v>
      </c>
      <c r="C232">
        <v>2010</v>
      </c>
    </row>
    <row r="233" spans="1:6" x14ac:dyDescent="0.35">
      <c r="A233" t="str">
        <v>Enid Bagnold</v>
      </c>
      <c r="B233" t="str">
        <f>books!B230</f>
        <v>Steve Shadrach</v>
      </c>
      <c r="C233">
        <v>2008</v>
      </c>
    </row>
    <row r="234" spans="1:6" x14ac:dyDescent="0.35">
      <c r="A234" t="str">
        <v>Florence Sakade</v>
      </c>
      <c r="B234" t="str">
        <f>books!B231</f>
        <v>R.M. Frazer</v>
      </c>
      <c r="C234">
        <v>2006</v>
      </c>
    </row>
    <row r="235" spans="1:6" x14ac:dyDescent="0.35">
      <c r="A235" t="str">
        <v>Lauren Mills</v>
      </c>
      <c r="B235" t="str">
        <f>books!B232</f>
        <v>Frances Goodrich</v>
      </c>
      <c r="C235">
        <v>2004</v>
      </c>
    </row>
    <row r="236" spans="1:6" x14ac:dyDescent="0.35">
      <c r="A236" t="str">
        <v>Jim Murphy</v>
      </c>
      <c r="B236" t="e">
        <f>books!#REF!</f>
        <v>#REF!</v>
      </c>
      <c r="C236">
        <v>2004</v>
      </c>
      <c r="D236">
        <v>2005</v>
      </c>
    </row>
    <row r="237" spans="1:6" x14ac:dyDescent="0.35">
      <c r="A237" t="str">
        <v>Lois Leppard</v>
      </c>
      <c r="B237" t="str">
        <f>books!B233</f>
        <v>Enid Bagnold</v>
      </c>
      <c r="C237">
        <v>2006</v>
      </c>
    </row>
    <row r="238" spans="1:6" x14ac:dyDescent="0.35">
      <c r="A238" t="str">
        <v>Astrid Lindgren</v>
      </c>
      <c r="B238" t="str">
        <f>books!B234</f>
        <v>Florence Sakade</v>
      </c>
      <c r="C238">
        <v>2005</v>
      </c>
    </row>
    <row r="239" spans="1:6" x14ac:dyDescent="0.35">
      <c r="A239" t="str">
        <v>Elizaberth Lewis</v>
      </c>
      <c r="B239" t="str">
        <f>books!B235</f>
        <v>Lauren Mills</v>
      </c>
      <c r="C239">
        <v>2009</v>
      </c>
    </row>
    <row r="240" spans="1:6" x14ac:dyDescent="0.35">
      <c r="A240" t="str">
        <v>Stephen Meader</v>
      </c>
      <c r="B240" t="str">
        <f>books!B236</f>
        <v>Jim Murphy</v>
      </c>
      <c r="C240">
        <v>2007</v>
      </c>
    </row>
    <row r="241" spans="1:10" x14ac:dyDescent="0.35">
      <c r="A241" t="str">
        <v>Elvira Woodruff</v>
      </c>
      <c r="B241" t="str">
        <f>books!B237</f>
        <v>Lois Leppard</v>
      </c>
      <c r="C241">
        <v>2008</v>
      </c>
    </row>
    <row r="242" spans="1:10" x14ac:dyDescent="0.35">
      <c r="A242" t="str">
        <v>E.C. Forster &amp; Slim Williams</v>
      </c>
      <c r="B242" t="str">
        <f>books!B238</f>
        <v>Astrid Lindgren</v>
      </c>
      <c r="C242">
        <v>2006</v>
      </c>
    </row>
    <row r="243" spans="1:10" x14ac:dyDescent="0.35">
      <c r="A243" t="str">
        <v>Harriette Robinet</v>
      </c>
      <c r="B243" t="str">
        <f>books!B239</f>
        <v>Elizaberth Lewis</v>
      </c>
      <c r="C243">
        <v>2009</v>
      </c>
    </row>
    <row r="244" spans="1:10" x14ac:dyDescent="0.35">
      <c r="A244" t="str">
        <v>Janwillem van de Wetering</v>
      </c>
      <c r="B244" t="str">
        <f>books!B240</f>
        <v>Stephen Meader</v>
      </c>
      <c r="C244">
        <v>2004</v>
      </c>
    </row>
    <row r="245" spans="1:10" x14ac:dyDescent="0.35">
      <c r="A245" t="str">
        <v>Debbie Dadey &amp; Marcia Jones</v>
      </c>
      <c r="B245" t="str">
        <f>books!B241</f>
        <v>Elvira Woodruff</v>
      </c>
      <c r="C245">
        <v>2007</v>
      </c>
      <c r="D245">
        <v>2007</v>
      </c>
      <c r="E245">
        <v>2007</v>
      </c>
    </row>
    <row r="246" spans="1:10" x14ac:dyDescent="0.35">
      <c r="A246" t="str">
        <v>Carolyn Haywood</v>
      </c>
      <c r="B246" t="str">
        <f>books!B242</f>
        <v>E.C. Forster &amp; Slim Williams</v>
      </c>
      <c r="C246">
        <v>2008</v>
      </c>
    </row>
    <row r="247" spans="1:10" x14ac:dyDescent="0.35">
      <c r="A247" t="str">
        <v>Jean Ure</v>
      </c>
      <c r="B247" t="str">
        <f>books!B243</f>
        <v>Harriette Robinet</v>
      </c>
      <c r="C247">
        <v>2007</v>
      </c>
    </row>
    <row r="248" spans="1:10" x14ac:dyDescent="0.35">
      <c r="A248" t="str">
        <v>Yoshiko Uchida</v>
      </c>
      <c r="B248" t="str">
        <f>books!B244</f>
        <v>Janwillem van de Wetering</v>
      </c>
      <c r="C248">
        <v>2014</v>
      </c>
    </row>
    <row r="249" spans="1:10" x14ac:dyDescent="0.35">
      <c r="A249" t="str">
        <v>Janet Lisle</v>
      </c>
      <c r="B249" t="str">
        <f>books!B245</f>
        <v>Debbie Dadey &amp; Marcia Jones</v>
      </c>
      <c r="C249">
        <v>2012</v>
      </c>
    </row>
    <row r="250" spans="1:10" x14ac:dyDescent="0.35">
      <c r="A250" t="str">
        <v>Patricia Giff</v>
      </c>
      <c r="B250" t="str">
        <f>books!B246</f>
        <v>Carolyn Haywood</v>
      </c>
      <c r="C250">
        <v>2010</v>
      </c>
    </row>
    <row r="251" spans="1:10" x14ac:dyDescent="0.35">
      <c r="A251" t="str">
        <v>Carl Hiaasen</v>
      </c>
      <c r="B251" t="str">
        <f>books!B247</f>
        <v>Jean Ure</v>
      </c>
      <c r="C251">
        <v>2010</v>
      </c>
      <c r="D251">
        <v>2013</v>
      </c>
      <c r="E251">
        <v>2020</v>
      </c>
    </row>
    <row r="252" spans="1:10" x14ac:dyDescent="0.35">
      <c r="A252" t="str">
        <v>Debra Seely</v>
      </c>
      <c r="B252" t="str">
        <f>books!B248</f>
        <v>Yoshiko Uchida</v>
      </c>
      <c r="C252">
        <v>2007</v>
      </c>
    </row>
    <row r="253" spans="1:10" x14ac:dyDescent="0.35">
      <c r="A253" t="str">
        <v>Doris Schroder</v>
      </c>
      <c r="B253" t="str">
        <f>books!B249</f>
        <v>Janet Lisle</v>
      </c>
      <c r="C253">
        <v>2008</v>
      </c>
    </row>
    <row r="254" spans="1:10" x14ac:dyDescent="0.35">
      <c r="A254" t="str">
        <v>Jeffrey Dean &amp; Robby McGee</v>
      </c>
      <c r="B254" t="str">
        <f>books!B250</f>
        <v>Patricia Giff</v>
      </c>
      <c r="C254">
        <v>2015</v>
      </c>
    </row>
    <row r="255" spans="1:10" x14ac:dyDescent="0.35">
      <c r="A255" t="str">
        <v>Marguerite De Angel</v>
      </c>
      <c r="B255" t="str">
        <f>books!B251</f>
        <v>Carl Hiaasen</v>
      </c>
      <c r="C255">
        <v>2006</v>
      </c>
    </row>
    <row r="256" spans="1:10" x14ac:dyDescent="0.35">
      <c r="A256" t="str">
        <v>T.A. Barron</v>
      </c>
      <c r="B256" t="str">
        <f>books!B252</f>
        <v>Debra Seely</v>
      </c>
      <c r="C256">
        <v>2013</v>
      </c>
      <c r="D256">
        <v>2013</v>
      </c>
      <c r="E256">
        <v>2013</v>
      </c>
      <c r="F256">
        <v>2013</v>
      </c>
      <c r="G256">
        <v>2013</v>
      </c>
      <c r="H256">
        <v>2013</v>
      </c>
      <c r="I256">
        <v>2013</v>
      </c>
      <c r="J256">
        <v>2013</v>
      </c>
    </row>
    <row r="257" spans="1:6" x14ac:dyDescent="0.35">
      <c r="A257" t="str">
        <v>Geri Keams</v>
      </c>
      <c r="B257" t="str">
        <f>books!B253</f>
        <v>Doris Schroder</v>
      </c>
      <c r="C257">
        <v>2004</v>
      </c>
    </row>
    <row r="258" spans="1:6" x14ac:dyDescent="0.35">
      <c r="A258" t="str">
        <v>Sarah Kilborne</v>
      </c>
      <c r="B258" t="str">
        <f>books!B254</f>
        <v>Jeffrey Dean &amp; Robby McGee</v>
      </c>
      <c r="C258">
        <v>2004</v>
      </c>
    </row>
    <row r="259" spans="1:6" x14ac:dyDescent="0.35">
      <c r="A259" t="str">
        <v>Gayle Ross &amp; Murv Jacob</v>
      </c>
      <c r="B259" t="e">
        <f>books!#REF!</f>
        <v>#REF!</v>
      </c>
      <c r="C259">
        <v>2019</v>
      </c>
    </row>
    <row r="260" spans="1:6" x14ac:dyDescent="0.35">
      <c r="A260" t="str">
        <v>Kurt Vonnegut</v>
      </c>
      <c r="B260" t="str">
        <f>books!B255</f>
        <v>Marguerite De Angel</v>
      </c>
      <c r="C260">
        <v>2011</v>
      </c>
      <c r="D260">
        <v>2021</v>
      </c>
    </row>
    <row r="261" spans="1:6" x14ac:dyDescent="0.35">
      <c r="A261" t="str">
        <v>Brian Selznick</v>
      </c>
      <c r="B261" t="str">
        <f>books!B256</f>
        <v>T.A. Barron</v>
      </c>
      <c r="C261">
        <v>2013</v>
      </c>
      <c r="D261">
        <v>2018</v>
      </c>
    </row>
    <row r="262" spans="1:6" x14ac:dyDescent="0.35">
      <c r="A262" t="str">
        <v>Eoin McNamee</v>
      </c>
      <c r="B262" t="str">
        <f>books!B257</f>
        <v>Geri Keams</v>
      </c>
      <c r="C262">
        <v>2013</v>
      </c>
      <c r="D262">
        <v>2013</v>
      </c>
      <c r="E262">
        <v>2013</v>
      </c>
    </row>
    <row r="263" spans="1:6" x14ac:dyDescent="0.35">
      <c r="A263" t="str">
        <v>Jack Canfield</v>
      </c>
      <c r="B263" t="str">
        <f>books!B258</f>
        <v>Sarah Kilborne</v>
      </c>
      <c r="C263">
        <v>2013</v>
      </c>
    </row>
    <row r="264" spans="1:6" x14ac:dyDescent="0.35">
      <c r="A264" t="str">
        <v>Williams Durbin</v>
      </c>
      <c r="B264" t="str">
        <f>books!B259</f>
        <v>Gayle Ross &amp; Murv Jacob</v>
      </c>
      <c r="C264">
        <v>2005</v>
      </c>
    </row>
    <row r="265" spans="1:6" x14ac:dyDescent="0.35">
      <c r="A265" t="str">
        <v>N.D. Wilson</v>
      </c>
      <c r="B265" t="str">
        <f>books!B260</f>
        <v>Kurt Vonnegut</v>
      </c>
      <c r="C265">
        <v>2011</v>
      </c>
      <c r="D265">
        <v>2011</v>
      </c>
      <c r="E265">
        <v>2012</v>
      </c>
    </row>
    <row r="266" spans="1:6" x14ac:dyDescent="0.35">
      <c r="A266" t="str">
        <v>Roland Smith</v>
      </c>
      <c r="B266" t="str">
        <f>books!B261</f>
        <v>Brian Selznick</v>
      </c>
      <c r="C266">
        <v>2011</v>
      </c>
    </row>
    <row r="267" spans="1:6" x14ac:dyDescent="0.35">
      <c r="A267" t="str">
        <v>Kevin Crossley-Holland</v>
      </c>
      <c r="B267" t="str">
        <f>books!B262</f>
        <v>Eoin McNamee</v>
      </c>
      <c r="C267">
        <v>2014</v>
      </c>
      <c r="D267">
        <v>2014</v>
      </c>
      <c r="E267">
        <v>2014</v>
      </c>
    </row>
    <row r="268" spans="1:6" x14ac:dyDescent="0.35">
      <c r="A268" t="str">
        <v>Pittacus Lore</v>
      </c>
      <c r="B268" t="str">
        <f>books!B263</f>
        <v>Jack Canfield</v>
      </c>
      <c r="C268">
        <v>2010</v>
      </c>
      <c r="D268">
        <v>2011</v>
      </c>
      <c r="E268">
        <v>2014</v>
      </c>
      <c r="F268">
        <v>2017</v>
      </c>
    </row>
    <row r="269" spans="1:6" x14ac:dyDescent="0.35">
      <c r="A269" t="str">
        <v>Michael Reisman</v>
      </c>
      <c r="B269" t="str">
        <f>books!B264</f>
        <v>Williams Durbin</v>
      </c>
      <c r="C269">
        <v>2010</v>
      </c>
      <c r="D269">
        <v>2014</v>
      </c>
    </row>
    <row r="270" spans="1:6" x14ac:dyDescent="0.35">
      <c r="A270" t="str">
        <v>Jeffrey Freed &amp; Joan Shapiro</v>
      </c>
      <c r="B270" t="str">
        <f>books!B265</f>
        <v>N.D. Wilson</v>
      </c>
      <c r="C270">
        <v>2016</v>
      </c>
    </row>
    <row r="271" spans="1:6" x14ac:dyDescent="0.35">
      <c r="A271" t="str">
        <v>Clyde Bulla</v>
      </c>
      <c r="B271" t="str">
        <f>books!B266</f>
        <v>Roland Smith</v>
      </c>
      <c r="C271">
        <v>2005</v>
      </c>
    </row>
    <row r="272" spans="1:6" x14ac:dyDescent="0.35">
      <c r="A272" t="str">
        <v>M. Clarke</v>
      </c>
      <c r="B272" t="str">
        <f>books!B267</f>
        <v>Kevin Crossley-Holland</v>
      </c>
      <c r="C272">
        <v>2015</v>
      </c>
    </row>
    <row r="273" spans="1:9" x14ac:dyDescent="0.35">
      <c r="A273" t="str">
        <v>Foreign Language Press</v>
      </c>
      <c r="B273" t="str">
        <f>books!B268</f>
        <v>Pittacus Lore</v>
      </c>
      <c r="C273">
        <v>2016</v>
      </c>
      <c r="D273">
        <v>2016</v>
      </c>
    </row>
    <row r="274" spans="1:9" x14ac:dyDescent="0.35">
      <c r="A274" t="str">
        <v>William Strunk and E.B. White</v>
      </c>
      <c r="B274" t="str">
        <f>books!B269</f>
        <v>Michael Reisman</v>
      </c>
      <c r="C274">
        <v>2014</v>
      </c>
    </row>
    <row r="275" spans="1:9" x14ac:dyDescent="0.35">
      <c r="A275" t="str">
        <v>T.H. White</v>
      </c>
      <c r="B275" t="str">
        <f>books!B270</f>
        <v>Jeffrey Freed &amp; Joan Shapiro</v>
      </c>
      <c r="C275">
        <v>2008</v>
      </c>
    </row>
    <row r="276" spans="1:9" x14ac:dyDescent="0.35">
      <c r="A276" t="str">
        <v>Jean Van Leeuwen</v>
      </c>
      <c r="B276" t="str">
        <f>books!B271</f>
        <v>Clyde Bulla</v>
      </c>
      <c r="C276">
        <v>2008</v>
      </c>
      <c r="D276">
        <v>2006</v>
      </c>
    </row>
    <row r="277" spans="1:9" x14ac:dyDescent="0.35">
      <c r="A277" t="str">
        <v>Nicholas Edwards</v>
      </c>
      <c r="B277" t="str">
        <f>books!B272</f>
        <v>M. Clarke</v>
      </c>
      <c r="C277">
        <v>2007</v>
      </c>
    </row>
    <row r="278" spans="1:9" x14ac:dyDescent="0.35">
      <c r="A278" t="str">
        <v>Laura Ahearn</v>
      </c>
      <c r="B278" t="str">
        <f>books!B273</f>
        <v>Foreign Language Press</v>
      </c>
      <c r="C278">
        <v>2018</v>
      </c>
    </row>
    <row r="279" spans="1:9" x14ac:dyDescent="0.35">
      <c r="A279" t="str">
        <v>Helene Wecker</v>
      </c>
      <c r="B279" t="str">
        <f>books!B274</f>
        <v>William Strunk and E.B. White</v>
      </c>
      <c r="C279">
        <v>2018</v>
      </c>
    </row>
    <row r="280" spans="1:9" x14ac:dyDescent="0.35">
      <c r="A280" t="str">
        <v>Linda Chapman &amp; Steve Cole</v>
      </c>
      <c r="B280" t="str">
        <f>books!B275</f>
        <v>T.H. White</v>
      </c>
      <c r="C280">
        <v>2018</v>
      </c>
    </row>
    <row r="281" spans="1:9" x14ac:dyDescent="0.35">
      <c r="A281" t="str">
        <v>Derek Benz &amp; J.S. Lewis</v>
      </c>
      <c r="B281" t="str">
        <f>books!B276</f>
        <v>Jean Van Leeuwen</v>
      </c>
      <c r="C281">
        <v>2012</v>
      </c>
      <c r="D281">
        <v>2012</v>
      </c>
      <c r="E281">
        <v>2012</v>
      </c>
    </row>
    <row r="282" spans="1:9" x14ac:dyDescent="0.35">
      <c r="A282" t="str">
        <v>Stephen Lawhead</v>
      </c>
      <c r="B282" t="str">
        <f>books!B277</f>
        <v>Nicholas Edwards</v>
      </c>
      <c r="C282">
        <v>2010</v>
      </c>
      <c r="D282">
        <v>2010</v>
      </c>
      <c r="E282">
        <v>2010</v>
      </c>
    </row>
    <row r="283" spans="1:9" x14ac:dyDescent="0.35">
      <c r="A283" t="str">
        <v>Frances Hardinge</v>
      </c>
      <c r="B283" t="str">
        <f>books!B278</f>
        <v>Laura Ahearn</v>
      </c>
      <c r="C283">
        <v>2011</v>
      </c>
    </row>
    <row r="284" spans="1:9" x14ac:dyDescent="0.35">
      <c r="A284" t="str">
        <v>Mark Frost</v>
      </c>
      <c r="B284" t="str">
        <f>books!B279</f>
        <v>Helene Wecker</v>
      </c>
      <c r="C284">
        <v>2013</v>
      </c>
      <c r="D284">
        <v>2013</v>
      </c>
      <c r="E284">
        <v>2013</v>
      </c>
    </row>
    <row r="285" spans="1:9" x14ac:dyDescent="0.35">
      <c r="A285" t="str">
        <v>Philip Freeman</v>
      </c>
      <c r="B285" t="str">
        <f>books!B280</f>
        <v>Linda Chapman &amp; Steve Cole</v>
      </c>
      <c r="C285">
        <v>2010</v>
      </c>
    </row>
    <row r="286" spans="1:9" x14ac:dyDescent="0.35">
      <c r="A286" t="str">
        <v>Kenneth Oppel</v>
      </c>
      <c r="B286" t="str">
        <f>books!B281</f>
        <v>Derek Benz &amp; J.S. Lewis</v>
      </c>
      <c r="C286">
        <v>2010</v>
      </c>
      <c r="D286">
        <v>2010</v>
      </c>
      <c r="E286">
        <v>2010</v>
      </c>
      <c r="F286">
        <v>2010</v>
      </c>
      <c r="G286">
        <v>2010</v>
      </c>
      <c r="H286">
        <v>2010</v>
      </c>
      <c r="I286">
        <v>2010</v>
      </c>
    </row>
    <row r="287" spans="1:9" x14ac:dyDescent="0.35">
      <c r="A287" t="str">
        <v>Jeff Stone</v>
      </c>
      <c r="B287" t="str">
        <f>books!B282</f>
        <v>Stephen Lawhead</v>
      </c>
      <c r="C287">
        <v>2009</v>
      </c>
      <c r="D287">
        <v>2009</v>
      </c>
      <c r="E287">
        <v>2009</v>
      </c>
      <c r="F287">
        <v>2009</v>
      </c>
      <c r="G287">
        <v>2009</v>
      </c>
      <c r="H287">
        <v>2009</v>
      </c>
    </row>
    <row r="288" spans="1:9" x14ac:dyDescent="0.35">
      <c r="A288" t="str">
        <v>Jonathan Stroud</v>
      </c>
      <c r="B288" t="str">
        <f>books!B283</f>
        <v>Frances Hardinge</v>
      </c>
      <c r="C288">
        <v>2009</v>
      </c>
      <c r="D288">
        <v>2009</v>
      </c>
      <c r="E288">
        <v>2010</v>
      </c>
    </row>
    <row r="289" spans="1:9" x14ac:dyDescent="0.35">
      <c r="A289" t="str">
        <v>Howard Pyle</v>
      </c>
      <c r="B289" t="str">
        <f>books!B284</f>
        <v>Mark Frost</v>
      </c>
      <c r="C289">
        <v>2007</v>
      </c>
    </row>
    <row r="290" spans="1:9" x14ac:dyDescent="0.35">
      <c r="A290" t="str">
        <v>Annabel Monaghan</v>
      </c>
      <c r="B290" t="str">
        <f>books!B285</f>
        <v>Philip Freeman</v>
      </c>
      <c r="C290">
        <v>2011</v>
      </c>
    </row>
    <row r="291" spans="1:9" x14ac:dyDescent="0.35">
      <c r="A291" t="str">
        <v>Winston Groom</v>
      </c>
      <c r="B291" t="str">
        <f>books!B286</f>
        <v>Kenneth Oppel</v>
      </c>
      <c r="C291">
        <v>2019</v>
      </c>
    </row>
    <row r="292" spans="1:9" x14ac:dyDescent="0.35">
      <c r="A292" t="str">
        <v>Liz Kessler</v>
      </c>
      <c r="B292" t="str">
        <f>books!B287</f>
        <v>Jeff Stone</v>
      </c>
      <c r="C292">
        <v>2010</v>
      </c>
      <c r="D292">
        <v>2010</v>
      </c>
      <c r="E292">
        <v>2010</v>
      </c>
    </row>
    <row r="293" spans="1:9" x14ac:dyDescent="0.35">
      <c r="A293" t="str">
        <v>Sarah Prineas</v>
      </c>
      <c r="B293" t="str">
        <f>books!B288</f>
        <v>Jonathan Stroud</v>
      </c>
      <c r="C293">
        <v>2011</v>
      </c>
      <c r="D293">
        <v>2011</v>
      </c>
      <c r="E293">
        <v>2011</v>
      </c>
    </row>
    <row r="294" spans="1:9" x14ac:dyDescent="0.35">
      <c r="A294" t="str">
        <v>Dave Pelzer</v>
      </c>
      <c r="B294" t="str">
        <f>books!B289</f>
        <v>Howard Pyle</v>
      </c>
      <c r="C294">
        <v>2012</v>
      </c>
    </row>
    <row r="295" spans="1:9" x14ac:dyDescent="0.35">
      <c r="A295" t="str">
        <v>Leslea Newman</v>
      </c>
      <c r="B295" t="str">
        <f>books!B290</f>
        <v>Annabel Monaghan</v>
      </c>
      <c r="C295">
        <v>2011</v>
      </c>
    </row>
    <row r="296" spans="1:9" x14ac:dyDescent="0.35">
      <c r="A296" t="str">
        <v>Dhan Mukerji</v>
      </c>
      <c r="B296" t="str">
        <f>books!B291</f>
        <v>Winston Groom</v>
      </c>
      <c r="C296">
        <v>2010</v>
      </c>
    </row>
    <row r="297" spans="1:9" x14ac:dyDescent="0.35">
      <c r="A297" t="str">
        <v>Phyllis Naylor</v>
      </c>
      <c r="B297" t="str">
        <f>books!B292</f>
        <v>Liz Kessler</v>
      </c>
      <c r="C297">
        <v>2008</v>
      </c>
      <c r="D297">
        <v>2008</v>
      </c>
      <c r="E297">
        <v>2008</v>
      </c>
    </row>
    <row r="298" spans="1:9" x14ac:dyDescent="0.35">
      <c r="A298" t="str">
        <v>P.B. Kerr</v>
      </c>
      <c r="B298" t="str">
        <f>books!B293</f>
        <v>Sarah Prineas</v>
      </c>
      <c r="C298">
        <v>2011</v>
      </c>
      <c r="D298">
        <v>2011</v>
      </c>
      <c r="E298">
        <v>2011</v>
      </c>
      <c r="F298">
        <v>2011</v>
      </c>
      <c r="G298">
        <v>2011</v>
      </c>
      <c r="H298">
        <v>2011</v>
      </c>
    </row>
    <row r="299" spans="1:9" x14ac:dyDescent="0.35">
      <c r="A299" t="str">
        <v>Katherine Hannigan</v>
      </c>
      <c r="B299" t="str">
        <f>books!B294</f>
        <v>Dave Pelzer</v>
      </c>
      <c r="C299">
        <v>2012</v>
      </c>
    </row>
    <row r="300" spans="1:9" x14ac:dyDescent="0.35">
      <c r="A300" t="str">
        <v>Nancy Fan</v>
      </c>
      <c r="B300" t="str">
        <f>books!B295</f>
        <v>Leslea Newman</v>
      </c>
      <c r="C300">
        <v>2013</v>
      </c>
      <c r="D300">
        <v>2014</v>
      </c>
    </row>
    <row r="301" spans="1:9" x14ac:dyDescent="0.35">
      <c r="A301" t="str">
        <v>Judy Blume</v>
      </c>
      <c r="B301" t="str">
        <f>books!B296</f>
        <v>Dhan Mukerji</v>
      </c>
      <c r="C301">
        <v>2006</v>
      </c>
      <c r="D301">
        <v>2006</v>
      </c>
      <c r="E301">
        <v>2006</v>
      </c>
      <c r="F301">
        <v>2006</v>
      </c>
      <c r="G301">
        <v>2006</v>
      </c>
      <c r="H301">
        <v>2006</v>
      </c>
      <c r="I301">
        <v>2014</v>
      </c>
    </row>
    <row r="302" spans="1:9" x14ac:dyDescent="0.35">
      <c r="A302" t="str">
        <v>Jeanne Birdsall</v>
      </c>
      <c r="B302" t="str">
        <f>books!B297</f>
        <v>Phyllis Naylor</v>
      </c>
      <c r="C302">
        <v>2008</v>
      </c>
    </row>
    <row r="303" spans="1:9" x14ac:dyDescent="0.35">
      <c r="A303" t="str">
        <v>June Wood</v>
      </c>
      <c r="B303" t="str">
        <f>books!B298</f>
        <v>P.B. Kerr</v>
      </c>
      <c r="C303">
        <v>2007</v>
      </c>
    </row>
    <row r="304" spans="1:9" x14ac:dyDescent="0.35">
      <c r="A304" t="str">
        <v>Robert Peck </v>
      </c>
      <c r="B304" t="str">
        <f>books!B299</f>
        <v>Katherine Hannigan</v>
      </c>
      <c r="C304">
        <v>2008</v>
      </c>
    </row>
    <row r="305" spans="1:61" x14ac:dyDescent="0.35">
      <c r="A305" t="str">
        <v>Tracie Zimmer</v>
      </c>
      <c r="B305" t="str">
        <f>books!B300</f>
        <v>Nancy Fan</v>
      </c>
      <c r="C305">
        <v>2008</v>
      </c>
    </row>
    <row r="306" spans="1:61" x14ac:dyDescent="0.35">
      <c r="A306" t="str">
        <v>Celia Wilkins</v>
      </c>
      <c r="B306" t="str">
        <f>books!B301</f>
        <v>Judy Blume</v>
      </c>
      <c r="C306">
        <v>2010</v>
      </c>
      <c r="D306">
        <v>2010</v>
      </c>
    </row>
    <row r="307" spans="1:61" x14ac:dyDescent="0.35">
      <c r="A307" t="str">
        <v>Gertrude Warner</v>
      </c>
      <c r="B307" t="str">
        <f>books!B302</f>
        <v>Jeanne Birdsall</v>
      </c>
      <c r="C307">
        <v>2006</v>
      </c>
      <c r="D307">
        <v>2007</v>
      </c>
      <c r="E307">
        <v>2007</v>
      </c>
      <c r="F307">
        <v>2007</v>
      </c>
      <c r="G307">
        <v>2007</v>
      </c>
      <c r="H307">
        <v>2007</v>
      </c>
      <c r="I307">
        <v>2007</v>
      </c>
      <c r="J307">
        <v>2007</v>
      </c>
      <c r="K307">
        <v>2007</v>
      </c>
      <c r="L307">
        <v>2007</v>
      </c>
      <c r="M307">
        <v>2007</v>
      </c>
      <c r="N307">
        <v>2007</v>
      </c>
      <c r="O307">
        <v>2007</v>
      </c>
      <c r="P307">
        <v>2007</v>
      </c>
      <c r="Q307">
        <v>2007</v>
      </c>
      <c r="R307">
        <v>2007</v>
      </c>
      <c r="S307">
        <v>2007</v>
      </c>
      <c r="T307">
        <v>2007</v>
      </c>
      <c r="U307">
        <v>2007</v>
      </c>
      <c r="V307">
        <v>2007</v>
      </c>
      <c r="W307">
        <v>2007</v>
      </c>
      <c r="X307">
        <v>2007</v>
      </c>
      <c r="Y307">
        <v>2007</v>
      </c>
      <c r="Z307">
        <v>2007</v>
      </c>
      <c r="AA307">
        <v>2007</v>
      </c>
      <c r="AB307">
        <v>2007</v>
      </c>
      <c r="AC307">
        <v>2007</v>
      </c>
      <c r="AD307">
        <v>2007</v>
      </c>
      <c r="AE307">
        <v>2007</v>
      </c>
      <c r="AF307">
        <v>2007</v>
      </c>
      <c r="AG307">
        <v>2008</v>
      </c>
      <c r="AH307">
        <v>208</v>
      </c>
      <c r="AI307">
        <v>2008</v>
      </c>
      <c r="AJ307">
        <v>2008</v>
      </c>
      <c r="AK307">
        <v>2008</v>
      </c>
      <c r="AL307">
        <v>2008</v>
      </c>
      <c r="AM307">
        <v>2008</v>
      </c>
      <c r="AN307">
        <v>2008</v>
      </c>
      <c r="AO307">
        <v>2008</v>
      </c>
      <c r="AP307">
        <v>2008</v>
      </c>
      <c r="AQ307">
        <v>2008</v>
      </c>
      <c r="AR307">
        <v>2008</v>
      </c>
      <c r="AS307">
        <v>2008</v>
      </c>
      <c r="AT307">
        <v>2008</v>
      </c>
      <c r="AU307">
        <v>2008</v>
      </c>
      <c r="AV307">
        <v>2008</v>
      </c>
      <c r="AW307">
        <v>2008</v>
      </c>
      <c r="AX307">
        <v>2008</v>
      </c>
      <c r="AY307">
        <v>2008</v>
      </c>
      <c r="AZ307">
        <v>2008</v>
      </c>
      <c r="BA307">
        <v>2008</v>
      </c>
      <c r="BB307">
        <v>2008</v>
      </c>
      <c r="BC307">
        <v>2008</v>
      </c>
      <c r="BD307">
        <v>2008</v>
      </c>
      <c r="BE307">
        <v>2008</v>
      </c>
      <c r="BF307">
        <v>2008</v>
      </c>
      <c r="BG307">
        <v>2008</v>
      </c>
      <c r="BH307">
        <v>2008</v>
      </c>
      <c r="BI307">
        <v>2008</v>
      </c>
    </row>
    <row r="308" spans="1:61" x14ac:dyDescent="0.35">
      <c r="A308" t="str">
        <v>Erin Hunter</v>
      </c>
      <c r="B308" t="str">
        <f>books!B303</f>
        <v>June Wood</v>
      </c>
      <c r="C308">
        <v>2005</v>
      </c>
      <c r="D308">
        <v>2006</v>
      </c>
      <c r="E308">
        <v>2006</v>
      </c>
      <c r="F308">
        <v>2006</v>
      </c>
      <c r="G308">
        <v>2006</v>
      </c>
      <c r="H308">
        <v>2006</v>
      </c>
      <c r="I308">
        <v>2007</v>
      </c>
      <c r="J308">
        <v>2007</v>
      </c>
      <c r="K308">
        <v>2007</v>
      </c>
      <c r="L308">
        <v>2007</v>
      </c>
      <c r="M308">
        <v>2007</v>
      </c>
      <c r="N308">
        <v>2007</v>
      </c>
      <c r="O308">
        <v>2007</v>
      </c>
      <c r="P308">
        <v>2008</v>
      </c>
      <c r="Q308">
        <v>2008</v>
      </c>
      <c r="R308">
        <v>2008</v>
      </c>
      <c r="S308">
        <v>2009</v>
      </c>
      <c r="T308">
        <v>2009</v>
      </c>
      <c r="U308">
        <v>2009</v>
      </c>
      <c r="V308">
        <v>2010</v>
      </c>
      <c r="W308">
        <v>2010</v>
      </c>
      <c r="X308">
        <v>2011</v>
      </c>
      <c r="Y308">
        <v>2011</v>
      </c>
      <c r="Z308">
        <v>2012</v>
      </c>
      <c r="AA308">
        <v>2010</v>
      </c>
      <c r="AB308">
        <v>2012</v>
      </c>
      <c r="AC308">
        <v>2012</v>
      </c>
      <c r="AD308">
        <v>2012</v>
      </c>
      <c r="AE308">
        <v>2013</v>
      </c>
      <c r="AF308">
        <v>2010</v>
      </c>
      <c r="AG308">
        <v>2010</v>
      </c>
      <c r="AH308">
        <v>2010</v>
      </c>
      <c r="AI308">
        <v>2010</v>
      </c>
      <c r="AJ308">
        <v>2010</v>
      </c>
    </row>
    <row r="309" spans="1:61" x14ac:dyDescent="0.35">
      <c r="A309" t="str">
        <v>Kevin Kwan</v>
      </c>
      <c r="B309" t="str">
        <f>books!B304</f>
        <v>Robert Peck </v>
      </c>
      <c r="C309">
        <v>2019</v>
      </c>
      <c r="D309">
        <v>2019</v>
      </c>
      <c r="E309">
        <v>2019</v>
      </c>
    </row>
    <row r="310" spans="1:61" x14ac:dyDescent="0.35">
      <c r="A310" t="str">
        <v>Ron Chernow</v>
      </c>
      <c r="B310" t="str">
        <f>books!B305</f>
        <v>Tracie Zimmer</v>
      </c>
      <c r="C310">
        <v>2019</v>
      </c>
      <c r="D310">
        <v>2020</v>
      </c>
    </row>
    <row r="311" spans="1:61" x14ac:dyDescent="0.35">
      <c r="A311" t="str">
        <v>Walter White</v>
      </c>
      <c r="B311" t="str">
        <f>books!B306</f>
        <v>Celia Wilkins</v>
      </c>
      <c r="C311">
        <v>2019</v>
      </c>
    </row>
    <row r="312" spans="1:61" x14ac:dyDescent="0.35">
      <c r="A312" t="str">
        <v>Kathryn Stockett</v>
      </c>
      <c r="B312" t="e">
        <f>books!#REF!</f>
        <v>#REF!</v>
      </c>
      <c r="C312">
        <v>2019</v>
      </c>
    </row>
    <row r="313" spans="1:61" x14ac:dyDescent="0.35">
      <c r="A313" t="str">
        <v>Candice Millard</v>
      </c>
      <c r="B313" t="str">
        <f>books!B307</f>
        <v>Gertrude Warner</v>
      </c>
      <c r="C313">
        <v>2019</v>
      </c>
    </row>
    <row r="314" spans="1:61" x14ac:dyDescent="0.35">
      <c r="A314" t="str">
        <v>Nella Larson</v>
      </c>
      <c r="B314" t="str">
        <f>books!B308</f>
        <v>Erin Hunter</v>
      </c>
      <c r="C314">
        <v>2019</v>
      </c>
    </row>
    <row r="315" spans="1:61" x14ac:dyDescent="0.35">
      <c r="A315" t="str">
        <v>William Goldman</v>
      </c>
      <c r="B315" t="str">
        <f>books!B309</f>
        <v>Kevin Kwan</v>
      </c>
      <c r="C315">
        <v>2019</v>
      </c>
    </row>
    <row r="316" spans="1:61" x14ac:dyDescent="0.35">
      <c r="A316" t="str">
        <v>Daniel Gage</v>
      </c>
      <c r="B316" t="str">
        <f>books!B310</f>
        <v>Ron Chernow</v>
      </c>
      <c r="C316">
        <v>2019</v>
      </c>
    </row>
    <row r="317" spans="1:61" x14ac:dyDescent="0.35">
      <c r="A317" t="str">
        <v>Norton Juster</v>
      </c>
      <c r="B317" t="str">
        <f>books!B311</f>
        <v>Walter White</v>
      </c>
      <c r="C317">
        <v>2005</v>
      </c>
    </row>
    <row r="318" spans="1:61" x14ac:dyDescent="0.35">
      <c r="A318" t="str">
        <v>Robert Jordan</v>
      </c>
      <c r="B318" t="str">
        <f>books!B312</f>
        <v>Kathryn Stockett</v>
      </c>
      <c r="C318">
        <v>2008</v>
      </c>
    </row>
    <row r="319" spans="1:61" x14ac:dyDescent="0.35">
      <c r="A319" t="str">
        <v>Ann Rinaldi</v>
      </c>
      <c r="B319" t="str">
        <f>books!B313</f>
        <v>Candice Millard</v>
      </c>
      <c r="C319">
        <v>2007</v>
      </c>
    </row>
    <row r="320" spans="1:61" x14ac:dyDescent="0.35">
      <c r="A320" t="str">
        <v>Richard and Florence Atwater</v>
      </c>
      <c r="B320" t="str">
        <f>books!B314</f>
        <v>Nella Larson</v>
      </c>
      <c r="C320">
        <v>2006</v>
      </c>
    </row>
    <row r="321" spans="1:6" x14ac:dyDescent="0.35">
      <c r="A321" t="str">
        <v>Paul Fleischman</v>
      </c>
      <c r="B321" t="str">
        <f>books!B315</f>
        <v>William Goldman</v>
      </c>
      <c r="C321">
        <v>2006</v>
      </c>
    </row>
    <row r="322" spans="1:6" x14ac:dyDescent="0.35">
      <c r="A322" t="str">
        <v>John Layman</v>
      </c>
      <c r="B322" t="str">
        <f>books!B316</f>
        <v>Daniel Gage</v>
      </c>
      <c r="C322">
        <v>2006</v>
      </c>
    </row>
    <row r="323" spans="1:6" x14ac:dyDescent="0.35">
      <c r="A323" t="str">
        <v>William Cronon</v>
      </c>
      <c r="B323" t="str">
        <f>books!B317</f>
        <v>Norton Juster</v>
      </c>
      <c r="C323">
        <v>2016</v>
      </c>
    </row>
    <row r="324" spans="1:6" x14ac:dyDescent="0.35">
      <c r="A324" t="str">
        <v>Javier Auyero</v>
      </c>
      <c r="B324" t="str">
        <f>books!B318</f>
        <v>Robert Jordan</v>
      </c>
      <c r="C324">
        <v>2016</v>
      </c>
    </row>
    <row r="325" spans="1:6" x14ac:dyDescent="0.35">
      <c r="A325" t="str">
        <v>Celia Applegate and Pamela Potter</v>
      </c>
      <c r="B325" t="str">
        <f>books!B319</f>
        <v>Ann Rinaldi</v>
      </c>
      <c r="C325">
        <v>2019</v>
      </c>
    </row>
    <row r="326" spans="1:6" x14ac:dyDescent="0.35">
      <c r="A326" t="str">
        <v>Gordon Craig</v>
      </c>
      <c r="B326" t="str">
        <f>books!B320</f>
        <v>Richard and Florence Atwater</v>
      </c>
      <c r="C326">
        <v>2019</v>
      </c>
    </row>
    <row r="327" spans="1:6" x14ac:dyDescent="0.35">
      <c r="A327" t="str">
        <v>Michael Kater</v>
      </c>
      <c r="B327" t="str">
        <f>books!B321</f>
        <v>Paul Fleischman</v>
      </c>
      <c r="C327">
        <v>2019</v>
      </c>
    </row>
    <row r="328" spans="1:6" x14ac:dyDescent="0.35">
      <c r="A328" t="str">
        <v>Rebecca Oettinger</v>
      </c>
      <c r="B328" t="str">
        <f>books!B322</f>
        <v>John Layman</v>
      </c>
      <c r="C328">
        <v>2019</v>
      </c>
    </row>
    <row r="329" spans="1:6" x14ac:dyDescent="0.35">
      <c r="A329" t="str">
        <v>Uwe Schutt</v>
      </c>
      <c r="B329" t="str">
        <f>books!B323</f>
        <v>William Cronon</v>
      </c>
      <c r="C329">
        <v>2019</v>
      </c>
    </row>
    <row r="330" spans="1:6" x14ac:dyDescent="0.35">
      <c r="A330" t="str">
        <v>William Shakespeare</v>
      </c>
      <c r="B330" t="str">
        <f>books!B324</f>
        <v>Javier Auyero</v>
      </c>
      <c r="C330">
        <v>2011</v>
      </c>
      <c r="D330">
        <v>2013</v>
      </c>
      <c r="E330">
        <v>2013</v>
      </c>
      <c r="F330">
        <v>2013</v>
      </c>
    </row>
    <row r="331" spans="1:6" x14ac:dyDescent="0.35">
      <c r="A331" t="str">
        <v>Jean Merrill</v>
      </c>
      <c r="B331" t="str">
        <f>books!B325</f>
        <v>Celia Applegate and Pamela Potter</v>
      </c>
      <c r="C331">
        <v>2005</v>
      </c>
    </row>
    <row r="332" spans="1:6" x14ac:dyDescent="0.35">
      <c r="A332" t="str">
        <v>David Blight</v>
      </c>
      <c r="B332" t="str">
        <f>books!B326</f>
        <v>Gordon Craig</v>
      </c>
      <c r="C332">
        <v>2019</v>
      </c>
    </row>
    <row r="333" spans="1:6" x14ac:dyDescent="0.35">
      <c r="A333" t="str">
        <v>Alexander Hamilton, James Madison, and John Jay</v>
      </c>
      <c r="B333" t="str">
        <f>books!B327</f>
        <v>Michael Kater</v>
      </c>
      <c r="C333">
        <v>2020</v>
      </c>
    </row>
    <row r="334" spans="1:6" x14ac:dyDescent="0.35">
      <c r="A334" t="str">
        <v>Nathan Pyle</v>
      </c>
      <c r="B334" t="str">
        <f>books!B328</f>
        <v>Rebecca Oettinger</v>
      </c>
      <c r="C334">
        <v>2019</v>
      </c>
    </row>
    <row r="335" spans="1:6" x14ac:dyDescent="0.35">
      <c r="A335" t="str">
        <v>Ishmael Beah</v>
      </c>
      <c r="B335" t="str">
        <f>books!B329</f>
        <v>Uwe Schutt</v>
      </c>
      <c r="C335">
        <v>2008</v>
      </c>
    </row>
    <row r="336" spans="1:6" x14ac:dyDescent="0.35">
      <c r="A336" t="str">
        <v>Naomi Benaron</v>
      </c>
      <c r="B336" t="str">
        <f>books!B330</f>
        <v>William Shakespeare</v>
      </c>
      <c r="C336">
        <v>2019</v>
      </c>
    </row>
    <row r="337" spans="1:7" x14ac:dyDescent="0.35">
      <c r="A337" t="str">
        <v>Thomas Mann</v>
      </c>
      <c r="B337" t="str">
        <f>books!B331</f>
        <v>Jean Merrill</v>
      </c>
      <c r="C337">
        <v>2018</v>
      </c>
    </row>
    <row r="338" spans="1:7" x14ac:dyDescent="0.35">
      <c r="A338" t="str">
        <v>Bertold Brecht</v>
      </c>
      <c r="B338" t="str">
        <f>books!B332</f>
        <v>David Blight</v>
      </c>
      <c r="C338">
        <v>2018</v>
      </c>
      <c r="D338">
        <v>2019</v>
      </c>
    </row>
    <row r="339" spans="1:7" x14ac:dyDescent="0.35">
      <c r="A339" t="str">
        <v>Ludwig Tieck</v>
      </c>
      <c r="B339" t="str">
        <f>books!B333</f>
        <v>Alexander Hamilton, James Madison, and John Jay</v>
      </c>
      <c r="C339">
        <v>2016</v>
      </c>
    </row>
    <row r="340" spans="1:7" x14ac:dyDescent="0.35">
      <c r="A340" t="str">
        <v>Obert Skye</v>
      </c>
      <c r="B340" t="str">
        <f>books!B334</f>
        <v>Nathan Pyle</v>
      </c>
      <c r="C340">
        <v>2009</v>
      </c>
      <c r="D340">
        <v>2009</v>
      </c>
      <c r="E340">
        <v>2009</v>
      </c>
      <c r="F340">
        <v>2009</v>
      </c>
      <c r="G340">
        <v>2009</v>
      </c>
    </row>
    <row r="341" spans="1:7" x14ac:dyDescent="0.35">
      <c r="A341" t="str">
        <v>Kat Falls</v>
      </c>
      <c r="B341" t="str">
        <f>books!B335</f>
        <v>Ishmael Beah</v>
      </c>
      <c r="C341">
        <v>2009</v>
      </c>
    </row>
    <row r="342" spans="1:7" x14ac:dyDescent="0.35">
      <c r="A342" t="str">
        <v>Michael Chabon</v>
      </c>
      <c r="B342" t="str">
        <f>books!B336</f>
        <v>Naomi Benaron</v>
      </c>
      <c r="C342">
        <v>2007</v>
      </c>
    </row>
    <row r="343" spans="1:7" x14ac:dyDescent="0.35">
      <c r="A343" t="str">
        <v>Zizu Corder</v>
      </c>
      <c r="B343" t="e">
        <f>books!#REF!</f>
        <v>#REF!</v>
      </c>
      <c r="C343">
        <v>2009</v>
      </c>
    </row>
    <row r="344" spans="1:7" x14ac:dyDescent="0.35">
      <c r="A344" t="str">
        <v>Jane Smiley</v>
      </c>
      <c r="B344" t="str">
        <f>books!B337</f>
        <v>Thomas Mann</v>
      </c>
      <c r="C344">
        <v>2019</v>
      </c>
    </row>
    <row r="345" spans="1:7" x14ac:dyDescent="0.35">
      <c r="A345" t="str">
        <v>Claude Steele</v>
      </c>
      <c r="B345" t="str">
        <f>books!B338</f>
        <v>Bertold Brecht</v>
      </c>
      <c r="C345">
        <v>2017</v>
      </c>
    </row>
    <row r="346" spans="1:7" x14ac:dyDescent="0.35">
      <c r="A346" t="str">
        <v>Anthony Greenwald and Mahzarin Banaji</v>
      </c>
      <c r="B346" t="str">
        <f>books!B339</f>
        <v>Ludwig Tieck</v>
      </c>
      <c r="C346">
        <v>2017</v>
      </c>
    </row>
    <row r="347" spans="1:7" x14ac:dyDescent="0.35">
      <c r="A347" t="str">
        <v>William Forstchen</v>
      </c>
      <c r="B347" t="str">
        <f>books!B340</f>
        <v>Obert Skye</v>
      </c>
      <c r="C347">
        <v>2014</v>
      </c>
    </row>
    <row r="348" spans="1:7" x14ac:dyDescent="0.35">
      <c r="A348" t="str">
        <v>David Montgomery</v>
      </c>
      <c r="B348" t="str">
        <f>books!B341</f>
        <v>Kat Falls</v>
      </c>
      <c r="C348">
        <v>2013</v>
      </c>
    </row>
    <row r="349" spans="1:7" x14ac:dyDescent="0.35">
      <c r="A349" t="str">
        <v>Peter Zeihan</v>
      </c>
      <c r="B349" t="str">
        <f>books!B342</f>
        <v>Michael Chabon</v>
      </c>
      <c r="C349">
        <v>2014</v>
      </c>
    </row>
    <row r="350" spans="1:7" x14ac:dyDescent="0.35">
      <c r="A350" t="str">
        <v>Todd Strasser</v>
      </c>
      <c r="B350" t="str">
        <f>books!B343</f>
        <v>Zizu Corder</v>
      </c>
      <c r="C350">
        <v>2008</v>
      </c>
    </row>
    <row r="351" spans="1:7" x14ac:dyDescent="0.35">
      <c r="A351" t="str">
        <v>G.E. Lessing</v>
      </c>
      <c r="B351" t="str">
        <f>books!B344</f>
        <v>Jane Smiley</v>
      </c>
      <c r="C351">
        <v>2017</v>
      </c>
    </row>
    <row r="352" spans="1:7" x14ac:dyDescent="0.35">
      <c r="A352" t="str">
        <v>Dave Eggers</v>
      </c>
      <c r="B352" t="str">
        <f>books!B345</f>
        <v>Claude Steele</v>
      </c>
      <c r="C352">
        <v>2019</v>
      </c>
    </row>
    <row r="353" spans="1:5" x14ac:dyDescent="0.35">
      <c r="A353" t="str">
        <v>Min Jin Lee</v>
      </c>
      <c r="B353" t="str">
        <f>books!B346</f>
        <v>Anthony Greenwald and Mahzarin Banaji</v>
      </c>
      <c r="C353">
        <v>2019</v>
      </c>
    </row>
    <row r="354" spans="1:5" x14ac:dyDescent="0.35">
      <c r="A354" t="str">
        <v>Roger Daniels</v>
      </c>
      <c r="B354" t="str">
        <f>books!B347</f>
        <v>William Forstchen</v>
      </c>
      <c r="C354">
        <v>2019</v>
      </c>
    </row>
    <row r="355" spans="1:5" x14ac:dyDescent="0.35">
      <c r="A355" t="str">
        <v>Jim Fergus</v>
      </c>
      <c r="B355" t="str">
        <f>books!B348</f>
        <v>David Montgomery</v>
      </c>
      <c r="C355">
        <v>2020</v>
      </c>
    </row>
    <row r="356" spans="1:5" x14ac:dyDescent="0.35">
      <c r="A356" t="str">
        <v>Simon Elegant</v>
      </c>
      <c r="B356" t="str">
        <f>books!B349</f>
        <v>Peter Zeihan</v>
      </c>
      <c r="C356">
        <v>2020</v>
      </c>
    </row>
    <row r="357" spans="1:5" x14ac:dyDescent="0.35">
      <c r="A357" t="str">
        <v>Heather Morris</v>
      </c>
      <c r="B357" t="str">
        <f>books!B350</f>
        <v>Todd Strasser</v>
      </c>
      <c r="C357">
        <v>2020</v>
      </c>
    </row>
    <row r="358" spans="1:5" x14ac:dyDescent="0.35">
      <c r="A358" t="str">
        <v>Lauren Groff</v>
      </c>
      <c r="B358" t="str">
        <f>books!B351</f>
        <v>G.E. Lessing</v>
      </c>
      <c r="C358">
        <v>2020</v>
      </c>
      <c r="D358">
        <v>2020</v>
      </c>
    </row>
    <row r="359" spans="1:5" x14ac:dyDescent="0.35">
      <c r="A359" t="str">
        <v>Susan Powers</v>
      </c>
      <c r="B359" t="str">
        <f>books!B352</f>
        <v>Dave Eggers</v>
      </c>
      <c r="C359">
        <v>2020</v>
      </c>
    </row>
    <row r="360" spans="1:5" x14ac:dyDescent="0.35">
      <c r="A360" t="str">
        <v>David Jeremiah</v>
      </c>
      <c r="B360" t="str">
        <f>books!B353</f>
        <v>Min Jin Lee</v>
      </c>
      <c r="C360">
        <v>2020</v>
      </c>
    </row>
    <row r="361" spans="1:5" x14ac:dyDescent="0.35">
      <c r="A361" t="str">
        <v>Radley Balko</v>
      </c>
      <c r="B361" t="str">
        <f>books!B354</f>
        <v>Roger Daniels</v>
      </c>
      <c r="C361">
        <v>2020</v>
      </c>
    </row>
    <row r="362" spans="1:5" x14ac:dyDescent="0.35">
      <c r="A362" t="str">
        <v>Chinua Achebe</v>
      </c>
      <c r="B362" t="str">
        <f>books!B355</f>
        <v>Jim Fergus</v>
      </c>
      <c r="C362">
        <v>2020</v>
      </c>
      <c r="D362">
        <v>2020</v>
      </c>
      <c r="E362">
        <v>2020</v>
      </c>
    </row>
    <row r="363" spans="1:5" x14ac:dyDescent="0.35">
      <c r="A363" t="str">
        <v>Ben Goldfarb</v>
      </c>
      <c r="B363" t="str">
        <f>books!B356</f>
        <v>Simon Elegant</v>
      </c>
      <c r="C363">
        <v>2020</v>
      </c>
    </row>
    <row r="364" spans="1:5" x14ac:dyDescent="0.35">
      <c r="A364" t="str">
        <v>Akwaeke Emezi</v>
      </c>
      <c r="B364" t="str">
        <f>books!B357</f>
        <v>Heather Morris</v>
      </c>
      <c r="C364">
        <v>2020</v>
      </c>
    </row>
    <row r="365" spans="1:5" x14ac:dyDescent="0.35">
      <c r="A365" t="str">
        <v>Ken Follette</v>
      </c>
      <c r="B365" t="str">
        <f>books!B358</f>
        <v>Lauren Groff</v>
      </c>
      <c r="C365">
        <v>2020</v>
      </c>
    </row>
    <row r="366" spans="1:5" x14ac:dyDescent="0.35">
      <c r="A366" t="str">
        <v>Sundee Tucker Frazier</v>
      </c>
      <c r="B366" t="str">
        <f>books!B359</f>
        <v>Susan Powers</v>
      </c>
      <c r="C366">
        <v>2020</v>
      </c>
    </row>
    <row r="367" spans="1:5" x14ac:dyDescent="0.35">
      <c r="A367" t="str">
        <v>Kim Tallbear</v>
      </c>
      <c r="B367" t="str">
        <f>books!B360</f>
        <v>David Jeremiah</v>
      </c>
      <c r="C367">
        <v>2020</v>
      </c>
    </row>
    <row r="368" spans="1:5" x14ac:dyDescent="0.35">
      <c r="A368" t="str">
        <v>Ted Dekker</v>
      </c>
      <c r="B368" t="str">
        <f>books!B361</f>
        <v>Radley Balko</v>
      </c>
      <c r="C368">
        <v>2020</v>
      </c>
      <c r="D368">
        <v>2020</v>
      </c>
      <c r="E368">
        <v>2020</v>
      </c>
    </row>
    <row r="369" spans="1:3" x14ac:dyDescent="0.35">
      <c r="A369" t="str">
        <v>Paul Sorrentino</v>
      </c>
      <c r="B369" t="str">
        <f>books!B362</f>
        <v>Chinua Achebe</v>
      </c>
      <c r="C369">
        <v>2020</v>
      </c>
    </row>
    <row r="370" spans="1:3" x14ac:dyDescent="0.35">
      <c r="A370" t="str">
        <v>Claudio Saunt</v>
      </c>
      <c r="B370" t="str">
        <f>books!B363</f>
        <v>Ben Goldfarb</v>
      </c>
      <c r="C370">
        <v>2020</v>
      </c>
    </row>
    <row r="371" spans="1:3" x14ac:dyDescent="0.35">
      <c r="A371" t="str">
        <v>Sofía Segovia</v>
      </c>
      <c r="B371" t="str">
        <f>books!B364</f>
        <v>Akwaeke Emezi</v>
      </c>
      <c r="C371">
        <v>2020</v>
      </c>
    </row>
    <row r="372" spans="1:3" x14ac:dyDescent="0.35">
      <c r="A372" t="str">
        <v>Gerald M. Sider</v>
      </c>
      <c r="B372" t="str">
        <f>books!B365</f>
        <v>Ken Follette</v>
      </c>
      <c r="C372">
        <v>2020</v>
      </c>
    </row>
    <row r="373" spans="1:3" x14ac:dyDescent="0.35">
      <c r="A373" t="str">
        <v>Tony Danza</v>
      </c>
      <c r="B373" t="str">
        <f>books!B366</f>
        <v>Sundee Tucker Frazier</v>
      </c>
      <c r="C373">
        <v>2020</v>
      </c>
    </row>
    <row r="374" spans="1:3" x14ac:dyDescent="0.35">
      <c r="A374" t="str">
        <v>Thanhha Lai</v>
      </c>
      <c r="B374" t="str">
        <f>books!B367</f>
        <v>Kim Tallbear</v>
      </c>
      <c r="C374">
        <v>2020</v>
      </c>
    </row>
    <row r="375" spans="1:3" x14ac:dyDescent="0.35">
      <c r="A375" t="str">
        <v>Robin Wall Kimmerer</v>
      </c>
      <c r="B375" t="str">
        <f>books!B368</f>
        <v>Ted Dekker</v>
      </c>
      <c r="C375">
        <v>2020</v>
      </c>
    </row>
    <row r="376" spans="1:3" x14ac:dyDescent="0.35">
      <c r="A376" t="str">
        <v>Dana Czapnik</v>
      </c>
      <c r="B376" t="str">
        <f>books!B369</f>
        <v>Paul Sorrentino</v>
      </c>
      <c r="C376">
        <v>2020</v>
      </c>
    </row>
    <row r="377" spans="1:3" x14ac:dyDescent="0.35">
      <c r="A377" t="str">
        <v>Lynda Mullaly Hunt</v>
      </c>
      <c r="B377" t="str">
        <f>books!B370</f>
        <v>Claudio Saunt</v>
      </c>
      <c r="C377">
        <v>2020</v>
      </c>
    </row>
    <row r="378" spans="1:3" x14ac:dyDescent="0.35">
      <c r="A378" t="str">
        <v>Mitali Perkins</v>
      </c>
      <c r="B378" t="str">
        <f>books!B371</f>
        <v>Sofía Segovia</v>
      </c>
      <c r="C378">
        <v>2020</v>
      </c>
    </row>
    <row r="379" spans="1:3" x14ac:dyDescent="0.35">
      <c r="A379" t="str">
        <v>Shanthi Sekaran</v>
      </c>
      <c r="B379" t="str">
        <f>books!B372</f>
        <v>Gerald M. Sider</v>
      </c>
      <c r="C379">
        <v>2020</v>
      </c>
    </row>
    <row r="380" spans="1:3" x14ac:dyDescent="0.35">
      <c r="A380" t="str">
        <v>Khary Polk</v>
      </c>
      <c r="B380" t="str">
        <f>books!B373</f>
        <v>Tony Danza</v>
      </c>
      <c r="C380">
        <v>2020</v>
      </c>
    </row>
    <row r="381" spans="1:3" x14ac:dyDescent="0.35">
      <c r="A381" t="str">
        <v>Axie Oh</v>
      </c>
      <c r="B381" t="str">
        <f>books!B374</f>
        <v>Thanhha Lai</v>
      </c>
      <c r="C381">
        <v>2020</v>
      </c>
    </row>
    <row r="382" spans="1:3" x14ac:dyDescent="0.35">
      <c r="A382" t="str">
        <v>Michael Korda</v>
      </c>
      <c r="B382" t="str">
        <f>books!B375</f>
        <v>Robin Wall Kimmerer</v>
      </c>
      <c r="C382">
        <v>2020</v>
      </c>
    </row>
    <row r="383" spans="1:3" x14ac:dyDescent="0.35">
      <c r="A383" t="str">
        <v>Ray Bradbury</v>
      </c>
      <c r="B383" t="str">
        <f>books!B376</f>
        <v>Dana Czapnik</v>
      </c>
      <c r="C383">
        <v>2020</v>
      </c>
    </row>
    <row r="384" spans="1:3" x14ac:dyDescent="0.35">
      <c r="A384" t="str">
        <v>Kirk Mitchell</v>
      </c>
      <c r="B384" t="str">
        <f>books!B377</f>
        <v>Lynda Mullaly Hunt</v>
      </c>
      <c r="C384">
        <v>2020</v>
      </c>
    </row>
    <row r="385" spans="1:11" x14ac:dyDescent="0.35">
      <c r="A385" t="str">
        <v>Joseph Campbell</v>
      </c>
      <c r="B385" t="str">
        <f>books!B378</f>
        <v>Mitali Perkins</v>
      </c>
      <c r="C385">
        <v>2020</v>
      </c>
    </row>
    <row r="386" spans="1:11" x14ac:dyDescent="0.35">
      <c r="A386" t="str">
        <v>Anne Fadiman</v>
      </c>
      <c r="B386" t="str">
        <f>books!B379</f>
        <v>Shanthi Sekaran</v>
      </c>
      <c r="C386">
        <v>2020</v>
      </c>
    </row>
    <row r="387" spans="1:11" x14ac:dyDescent="0.35">
      <c r="A387" t="str">
        <v>Zora Hurston</v>
      </c>
      <c r="B387" t="str">
        <f>books!B380</f>
        <v>Khary Polk</v>
      </c>
      <c r="C387">
        <v>2020</v>
      </c>
    </row>
    <row r="388" spans="1:11" x14ac:dyDescent="0.35">
      <c r="A388" t="str">
        <v>Chimamanda Ngozi Adichie</v>
      </c>
      <c r="B388" t="str">
        <f>books!B381</f>
        <v>Axie Oh</v>
      </c>
      <c r="C388">
        <v>2020</v>
      </c>
    </row>
    <row r="389" spans="1:11" x14ac:dyDescent="0.35">
      <c r="A389" t="str">
        <v>Ted Chiang</v>
      </c>
      <c r="B389" t="str">
        <f>books!B382</f>
        <v>Michael Korda</v>
      </c>
      <c r="C389">
        <v>2020</v>
      </c>
      <c r="D389">
        <v>2020</v>
      </c>
      <c r="E389">
        <v>2020</v>
      </c>
      <c r="F389">
        <v>2020</v>
      </c>
      <c r="G389">
        <v>2020</v>
      </c>
      <c r="H389">
        <v>2020</v>
      </c>
      <c r="I389">
        <v>2020</v>
      </c>
      <c r="J389">
        <v>2020</v>
      </c>
      <c r="K389">
        <v>2020</v>
      </c>
    </row>
    <row r="390" spans="1:11" x14ac:dyDescent="0.35">
      <c r="A390" t="str">
        <v>Joseph Murphy</v>
      </c>
      <c r="B390" t="str">
        <f>books!B383</f>
        <v>Ray Bradbury</v>
      </c>
      <c r="C390">
        <v>2020</v>
      </c>
    </row>
    <row r="391" spans="1:11" x14ac:dyDescent="0.35">
      <c r="A391" t="str">
        <v>Olaudah Equiano</v>
      </c>
      <c r="B391" t="str">
        <f>books!B384</f>
        <v>Kirk Mitchell</v>
      </c>
      <c r="C391">
        <v>2021</v>
      </c>
    </row>
    <row r="392" spans="1:11" x14ac:dyDescent="0.35">
      <c r="A392" t="str">
        <v>Mary Prince</v>
      </c>
      <c r="B392" t="str">
        <f>books!B385</f>
        <v>Joseph Campbell</v>
      </c>
      <c r="C392">
        <v>2021</v>
      </c>
    </row>
    <row r="393" spans="1:11" x14ac:dyDescent="0.35">
      <c r="A393" t="str">
        <v>Louis Asa-Asa</v>
      </c>
      <c r="B393" t="str">
        <f>books!B386</f>
        <v>Anne Fadiman</v>
      </c>
      <c r="C393">
        <v>2021</v>
      </c>
    </row>
    <row r="394" spans="1:11" x14ac:dyDescent="0.35">
      <c r="A394" t="str">
        <v>Frederick Douglass</v>
      </c>
      <c r="B394" t="str">
        <f>books!B387</f>
        <v>Zora Hurston</v>
      </c>
      <c r="C394">
        <v>2021</v>
      </c>
    </row>
    <row r="395" spans="1:11" x14ac:dyDescent="0.35">
      <c r="A395" t="str">
        <v>Harriet Jacobs</v>
      </c>
      <c r="B395" t="str">
        <f>books!B388</f>
        <v>Chimamanda Ngozi Adichie</v>
      </c>
      <c r="C395">
        <v>2021</v>
      </c>
    </row>
    <row r="396" spans="1:11" x14ac:dyDescent="0.35">
      <c r="A396" t="str">
        <v>Aneeka Ayanna Henderson</v>
      </c>
      <c r="B396" t="str">
        <f>books!B389</f>
        <v>Ted Chiang</v>
      </c>
      <c r="C396">
        <v>2021</v>
      </c>
    </row>
    <row r="397" spans="1:11" x14ac:dyDescent="0.35">
      <c r="A397" t="str">
        <v>Sonya Sotomayor</v>
      </c>
      <c r="B397" t="str">
        <f>books!B390</f>
        <v>Joseph Murphy</v>
      </c>
      <c r="C397">
        <v>2021</v>
      </c>
    </row>
    <row r="398" spans="1:11" x14ac:dyDescent="0.35">
      <c r="A398" t="str">
        <v>James Kahn</v>
      </c>
      <c r="B398" t="str">
        <f>books!B391</f>
        <v>Olaudah Equiano</v>
      </c>
      <c r="C398">
        <v>2021</v>
      </c>
    </row>
    <row r="399" spans="1:11" x14ac:dyDescent="0.35">
      <c r="A399" t="str">
        <v>George Lucas</v>
      </c>
      <c r="B399" t="str">
        <f>books!B392</f>
        <v>Mary Prince</v>
      </c>
      <c r="C399">
        <v>2021</v>
      </c>
    </row>
    <row r="400" spans="1:11" x14ac:dyDescent="0.35">
      <c r="A400" t="str">
        <v>Sebastian Junger</v>
      </c>
      <c r="B400" t="str">
        <f>books!B393</f>
        <v>Louis Asa-Asa</v>
      </c>
      <c r="C400">
        <v>2021</v>
      </c>
    </row>
    <row r="401" spans="1:4" x14ac:dyDescent="0.35">
      <c r="A401" t="str">
        <v>J. Frank Dobie</v>
      </c>
      <c r="B401" t="str">
        <f>books!B394</f>
        <v>Frederick Douglass</v>
      </c>
      <c r="C401">
        <v>2021</v>
      </c>
    </row>
    <row r="402" spans="1:4" x14ac:dyDescent="0.35">
      <c r="A402" t="str">
        <v>Andrew Murray</v>
      </c>
      <c r="B402" t="str">
        <f>books!B395</f>
        <v>Harriet Jacobs</v>
      </c>
      <c r="C402">
        <v>2021</v>
      </c>
    </row>
    <row r="403" spans="1:4" x14ac:dyDescent="0.35">
      <c r="A403" t="str">
        <v>Thomas Brussig</v>
      </c>
      <c r="B403" t="str">
        <f>books!B396</f>
        <v>Aneeka Ayanna Henderson</v>
      </c>
      <c r="C403">
        <v>2018</v>
      </c>
    </row>
    <row r="404" spans="1:4" x14ac:dyDescent="0.35">
      <c r="A404" t="str">
        <v>Carolyn Merchant</v>
      </c>
      <c r="B404" t="str">
        <f>books!B397</f>
        <v>Sonya Sotomayor</v>
      </c>
      <c r="C404">
        <v>2021</v>
      </c>
    </row>
    <row r="405" spans="1:4" x14ac:dyDescent="0.35">
      <c r="A405" t="str">
        <v>Barak Obama</v>
      </c>
      <c r="B405" t="str">
        <f>books!B398</f>
        <v>James Kahn</v>
      </c>
      <c r="C405">
        <v>2021</v>
      </c>
    </row>
    <row r="406" spans="1:4" x14ac:dyDescent="0.35">
      <c r="A406" t="str">
        <v>Raymond Friday Locke</v>
      </c>
      <c r="B406" t="str">
        <f>books!B399</f>
        <v>George Lucas</v>
      </c>
      <c r="C406">
        <v>2021</v>
      </c>
    </row>
    <row r="407" spans="1:4" x14ac:dyDescent="0.35">
      <c r="A407" t="str">
        <v>Jack Thorne</v>
      </c>
      <c r="B407">
        <f>books!B597</f>
        <v>0</v>
      </c>
      <c r="C407">
        <v>2021</v>
      </c>
    </row>
    <row r="408" spans="1:4" x14ac:dyDescent="0.35">
      <c r="A408" t="str">
        <v>Monica Furlong</v>
      </c>
      <c r="B408">
        <f>books!B598</f>
        <v>0</v>
      </c>
      <c r="C408">
        <v>2009</v>
      </c>
    </row>
    <row r="409" spans="1:4" x14ac:dyDescent="0.35">
      <c r="A409" t="str">
        <v>Malcom Gladwell</v>
      </c>
      <c r="B409">
        <f>books!B599</f>
        <v>0</v>
      </c>
      <c r="C409">
        <v>2021</v>
      </c>
      <c r="D409">
        <v>2021</v>
      </c>
    </row>
    <row r="410" spans="1:4" x14ac:dyDescent="0.35">
      <c r="A410" t="str">
        <v>Richard Wright</v>
      </c>
      <c r="B410">
        <f>books!B600</f>
        <v>0</v>
      </c>
      <c r="C410">
        <v>2021</v>
      </c>
    </row>
    <row r="411" spans="1:4" x14ac:dyDescent="0.35">
      <c r="A411" t="str">
        <v>Anthony Burgess</v>
      </c>
      <c r="B411">
        <f>books!B601</f>
        <v>0</v>
      </c>
      <c r="C411">
        <v>2021</v>
      </c>
    </row>
    <row r="412" spans="1:4" x14ac:dyDescent="0.35">
      <c r="A412" t="str">
        <v>Patricia Highsmith</v>
      </c>
      <c r="B412">
        <f>books!B602</f>
        <v>0</v>
      </c>
      <c r="C412">
        <v>2021</v>
      </c>
    </row>
    <row r="413" spans="1:4" x14ac:dyDescent="0.35">
      <c r="A413" t="str">
        <v>Stieg Larsson</v>
      </c>
      <c r="B413">
        <f>books!B603</f>
        <v>0</v>
      </c>
      <c r="C413">
        <v>2021</v>
      </c>
    </row>
    <row r="414" spans="1:4" x14ac:dyDescent="0.35">
      <c r="A414" t="str">
        <v>Erik Svensson</v>
      </c>
      <c r="B414">
        <f>books!B604</f>
        <v>0</v>
      </c>
      <c r="C414">
        <v>2021</v>
      </c>
    </row>
    <row r="415" spans="1:4" x14ac:dyDescent="0.35">
      <c r="A415" t="str">
        <v>Kevin Simler, Robin Hanson</v>
      </c>
      <c r="B415">
        <f>books!B605</f>
        <v>0</v>
      </c>
      <c r="C415">
        <v>2021</v>
      </c>
    </row>
    <row r="416" spans="1:4" x14ac:dyDescent="0.35">
      <c r="A416" t="str">
        <v>William Golding</v>
      </c>
      <c r="B416">
        <f>books!B606</f>
        <v>0</v>
      </c>
      <c r="C416">
        <v>2021</v>
      </c>
    </row>
    <row r="417" spans="1:2" x14ac:dyDescent="0.35">
      <c r="A417">
        <v>0</v>
      </c>
      <c r="B417">
        <f>books!B607</f>
        <v>0</v>
      </c>
    </row>
    <row r="418" spans="1:2" x14ac:dyDescent="0.35">
      <c r="B418">
        <f>books!B608</f>
        <v>0</v>
      </c>
    </row>
    <row r="419" spans="1:2" x14ac:dyDescent="0.35">
      <c r="B419">
        <f>books!B609</f>
        <v>0</v>
      </c>
    </row>
    <row r="420" spans="1:2" x14ac:dyDescent="0.35">
      <c r="B420">
        <f>books!B610</f>
        <v>0</v>
      </c>
    </row>
    <row r="421" spans="1:2" x14ac:dyDescent="0.35">
      <c r="B421">
        <f>books!B611</f>
        <v>0</v>
      </c>
    </row>
    <row r="422" spans="1:2" x14ac:dyDescent="0.35">
      <c r="B422">
        <f>books!B612</f>
        <v>0</v>
      </c>
    </row>
    <row r="423" spans="1:2" x14ac:dyDescent="0.35">
      <c r="B423">
        <f>books!B613</f>
        <v>0</v>
      </c>
    </row>
    <row r="424" spans="1:2" x14ac:dyDescent="0.35">
      <c r="B424">
        <f>books!B614</f>
        <v>0</v>
      </c>
    </row>
    <row r="425" spans="1:2" x14ac:dyDescent="0.35">
      <c r="B425">
        <f>books!B615</f>
        <v>0</v>
      </c>
    </row>
    <row r="426" spans="1:2" x14ac:dyDescent="0.35">
      <c r="B426">
        <f>books!B616</f>
        <v>0</v>
      </c>
    </row>
    <row r="427" spans="1:2" x14ac:dyDescent="0.35">
      <c r="B427">
        <f>books!B617</f>
        <v>0</v>
      </c>
    </row>
    <row r="428" spans="1:2" x14ac:dyDescent="0.35">
      <c r="B428">
        <f>books!B618</f>
        <v>0</v>
      </c>
    </row>
    <row r="429" spans="1:2" x14ac:dyDescent="0.35">
      <c r="B429">
        <f>books!B619</f>
        <v>0</v>
      </c>
    </row>
    <row r="430" spans="1:2" x14ac:dyDescent="0.35">
      <c r="B430">
        <f>books!B620</f>
        <v>0</v>
      </c>
    </row>
    <row r="431" spans="1:2" x14ac:dyDescent="0.35">
      <c r="B431">
        <f>books!B621</f>
        <v>0</v>
      </c>
    </row>
    <row r="432" spans="1:2" x14ac:dyDescent="0.35">
      <c r="B432">
        <f>books!B622</f>
        <v>0</v>
      </c>
    </row>
    <row r="433" spans="2:2" x14ac:dyDescent="0.35">
      <c r="B433">
        <f>books!B623</f>
        <v>0</v>
      </c>
    </row>
    <row r="434" spans="2:2" x14ac:dyDescent="0.35">
      <c r="B434">
        <f>books!B624</f>
        <v>0</v>
      </c>
    </row>
    <row r="435" spans="2:2" x14ac:dyDescent="0.35">
      <c r="B435">
        <f>books!B625</f>
        <v>0</v>
      </c>
    </row>
    <row r="436" spans="2:2" x14ac:dyDescent="0.35">
      <c r="B436">
        <f>books!B626</f>
        <v>0</v>
      </c>
    </row>
    <row r="437" spans="2:2" x14ac:dyDescent="0.35">
      <c r="B437">
        <f>books!B627</f>
        <v>0</v>
      </c>
    </row>
    <row r="438" spans="2:2" x14ac:dyDescent="0.35">
      <c r="B438">
        <f>books!B628</f>
        <v>0</v>
      </c>
    </row>
    <row r="439" spans="2:2" x14ac:dyDescent="0.35">
      <c r="B439">
        <f>books!B629</f>
        <v>0</v>
      </c>
    </row>
    <row r="440" spans="2:2" x14ac:dyDescent="0.35">
      <c r="B440">
        <f>books!B630</f>
        <v>0</v>
      </c>
    </row>
    <row r="441" spans="2:2" x14ac:dyDescent="0.35">
      <c r="B441">
        <f>books!B631</f>
        <v>0</v>
      </c>
    </row>
    <row r="442" spans="2:2" x14ac:dyDescent="0.35">
      <c r="B442">
        <f>books!B632</f>
        <v>0</v>
      </c>
    </row>
    <row r="443" spans="2:2" x14ac:dyDescent="0.35">
      <c r="B443">
        <f>books!B633</f>
        <v>0</v>
      </c>
    </row>
    <row r="444" spans="2:2" x14ac:dyDescent="0.35">
      <c r="B444">
        <f>books!B634</f>
        <v>0</v>
      </c>
    </row>
    <row r="445" spans="2:2" x14ac:dyDescent="0.35">
      <c r="B445">
        <f>books!B635</f>
        <v>0</v>
      </c>
    </row>
    <row r="446" spans="2:2" x14ac:dyDescent="0.35">
      <c r="B446">
        <f>books!B636</f>
        <v>0</v>
      </c>
    </row>
    <row r="447" spans="2:2" x14ac:dyDescent="0.35">
      <c r="B447">
        <f>books!B637</f>
        <v>0</v>
      </c>
    </row>
    <row r="448" spans="2:2" x14ac:dyDescent="0.35">
      <c r="B448">
        <f>books!B638</f>
        <v>0</v>
      </c>
    </row>
    <row r="449" spans="2:2" x14ac:dyDescent="0.35">
      <c r="B449">
        <f>books!B639</f>
        <v>0</v>
      </c>
    </row>
    <row r="450" spans="2:2" x14ac:dyDescent="0.35">
      <c r="B450">
        <f>books!B640</f>
        <v>0</v>
      </c>
    </row>
    <row r="451" spans="2:2" x14ac:dyDescent="0.35">
      <c r="B451">
        <f>books!B641</f>
        <v>0</v>
      </c>
    </row>
    <row r="452" spans="2:2" x14ac:dyDescent="0.35">
      <c r="B452">
        <f>books!B642</f>
        <v>0</v>
      </c>
    </row>
    <row r="453" spans="2:2" x14ac:dyDescent="0.35">
      <c r="B453">
        <f>books!B643</f>
        <v>0</v>
      </c>
    </row>
    <row r="454" spans="2:2" x14ac:dyDescent="0.35">
      <c r="B454">
        <f>books!B644</f>
        <v>0</v>
      </c>
    </row>
    <row r="455" spans="2:2" x14ac:dyDescent="0.35">
      <c r="B455">
        <f>books!B645</f>
        <v>0</v>
      </c>
    </row>
    <row r="456" spans="2:2" x14ac:dyDescent="0.35">
      <c r="B456">
        <f>books!B646</f>
        <v>0</v>
      </c>
    </row>
    <row r="457" spans="2:2" x14ac:dyDescent="0.35">
      <c r="B457">
        <f>books!B647</f>
        <v>0</v>
      </c>
    </row>
    <row r="458" spans="2:2" x14ac:dyDescent="0.35">
      <c r="B458">
        <f>books!B648</f>
        <v>0</v>
      </c>
    </row>
    <row r="459" spans="2:2" x14ac:dyDescent="0.35">
      <c r="B459">
        <f>books!B649</f>
        <v>0</v>
      </c>
    </row>
    <row r="460" spans="2:2" x14ac:dyDescent="0.35">
      <c r="B460">
        <f>books!B650</f>
        <v>0</v>
      </c>
    </row>
    <row r="461" spans="2:2" x14ac:dyDescent="0.35">
      <c r="B461">
        <f>books!B651</f>
        <v>0</v>
      </c>
    </row>
    <row r="462" spans="2:2" x14ac:dyDescent="0.35">
      <c r="B462">
        <f>books!B652</f>
        <v>0</v>
      </c>
    </row>
    <row r="463" spans="2:2" x14ac:dyDescent="0.35">
      <c r="B463">
        <f>books!B653</f>
        <v>0</v>
      </c>
    </row>
    <row r="464" spans="2:2" x14ac:dyDescent="0.35">
      <c r="B464">
        <f>books!B654</f>
        <v>0</v>
      </c>
    </row>
    <row r="465" spans="2:2" x14ac:dyDescent="0.35">
      <c r="B465">
        <f>books!B655</f>
        <v>0</v>
      </c>
    </row>
    <row r="466" spans="2:2" x14ac:dyDescent="0.35">
      <c r="B466">
        <f>books!B656</f>
        <v>0</v>
      </c>
    </row>
    <row r="467" spans="2:2" x14ac:dyDescent="0.35">
      <c r="B467">
        <f>books!B657</f>
        <v>0</v>
      </c>
    </row>
    <row r="468" spans="2:2" x14ac:dyDescent="0.35">
      <c r="B468">
        <f>books!B658</f>
        <v>0</v>
      </c>
    </row>
    <row r="469" spans="2:2" x14ac:dyDescent="0.35">
      <c r="B469">
        <f>books!B659</f>
        <v>0</v>
      </c>
    </row>
    <row r="470" spans="2:2" x14ac:dyDescent="0.35">
      <c r="B470">
        <f>books!B660</f>
        <v>0</v>
      </c>
    </row>
    <row r="471" spans="2:2" x14ac:dyDescent="0.35">
      <c r="B471">
        <f>books!B661</f>
        <v>0</v>
      </c>
    </row>
    <row r="472" spans="2:2" x14ac:dyDescent="0.35">
      <c r="B472">
        <f>books!B662</f>
        <v>0</v>
      </c>
    </row>
    <row r="473" spans="2:2" x14ac:dyDescent="0.35">
      <c r="B473">
        <f>books!B663</f>
        <v>0</v>
      </c>
    </row>
    <row r="474" spans="2:2" x14ac:dyDescent="0.35">
      <c r="B474">
        <f>books!B664</f>
        <v>0</v>
      </c>
    </row>
    <row r="475" spans="2:2" x14ac:dyDescent="0.35">
      <c r="B475">
        <f>books!B665</f>
        <v>0</v>
      </c>
    </row>
    <row r="476" spans="2:2" x14ac:dyDescent="0.35">
      <c r="B476">
        <f>books!B666</f>
        <v>0</v>
      </c>
    </row>
    <row r="477" spans="2:2" x14ac:dyDescent="0.35">
      <c r="B477">
        <f>books!B667</f>
        <v>0</v>
      </c>
    </row>
    <row r="478" spans="2:2" x14ac:dyDescent="0.35">
      <c r="B478">
        <f>books!B668</f>
        <v>0</v>
      </c>
    </row>
    <row r="479" spans="2:2" x14ac:dyDescent="0.35">
      <c r="B479">
        <f>books!B669</f>
        <v>0</v>
      </c>
    </row>
    <row r="480" spans="2:2" x14ac:dyDescent="0.35">
      <c r="B480">
        <f>books!B670</f>
        <v>0</v>
      </c>
    </row>
    <row r="481" spans="2:2" x14ac:dyDescent="0.35">
      <c r="B481">
        <f>books!B671</f>
        <v>0</v>
      </c>
    </row>
    <row r="482" spans="2:2" x14ac:dyDescent="0.35">
      <c r="B482">
        <f>books!B672</f>
        <v>0</v>
      </c>
    </row>
    <row r="483" spans="2:2" x14ac:dyDescent="0.35">
      <c r="B483">
        <f>books!B673</f>
        <v>0</v>
      </c>
    </row>
    <row r="484" spans="2:2" x14ac:dyDescent="0.35">
      <c r="B484">
        <f>books!B674</f>
        <v>0</v>
      </c>
    </row>
    <row r="485" spans="2:2" x14ac:dyDescent="0.35">
      <c r="B485">
        <f>books!B675</f>
        <v>0</v>
      </c>
    </row>
    <row r="486" spans="2:2" x14ac:dyDescent="0.35">
      <c r="B486">
        <f>books!B676</f>
        <v>0</v>
      </c>
    </row>
    <row r="487" spans="2:2" x14ac:dyDescent="0.35">
      <c r="B487">
        <f>books!B677</f>
        <v>0</v>
      </c>
    </row>
    <row r="488" spans="2:2" x14ac:dyDescent="0.35">
      <c r="B488">
        <f>books!B678</f>
        <v>0</v>
      </c>
    </row>
    <row r="489" spans="2:2" x14ac:dyDescent="0.35">
      <c r="B489">
        <f>books!B679</f>
        <v>0</v>
      </c>
    </row>
    <row r="490" spans="2:2" x14ac:dyDescent="0.35">
      <c r="B490">
        <f>books!B680</f>
        <v>0</v>
      </c>
    </row>
    <row r="491" spans="2:2" x14ac:dyDescent="0.35">
      <c r="B491">
        <f>books!B681</f>
        <v>0</v>
      </c>
    </row>
    <row r="492" spans="2:2" x14ac:dyDescent="0.35">
      <c r="B492">
        <f>books!B682</f>
        <v>0</v>
      </c>
    </row>
    <row r="493" spans="2:2" x14ac:dyDescent="0.35">
      <c r="B493">
        <f>books!B683</f>
        <v>0</v>
      </c>
    </row>
    <row r="494" spans="2:2" x14ac:dyDescent="0.35">
      <c r="B494">
        <f>books!B684</f>
        <v>0</v>
      </c>
    </row>
    <row r="495" spans="2:2" x14ac:dyDescent="0.35">
      <c r="B495">
        <f>books!B685</f>
        <v>0</v>
      </c>
    </row>
    <row r="496" spans="2:2" x14ac:dyDescent="0.35">
      <c r="B496">
        <f>books!B686</f>
        <v>0</v>
      </c>
    </row>
    <row r="497" spans="2:2" x14ac:dyDescent="0.35">
      <c r="B497">
        <f>books!B687</f>
        <v>0</v>
      </c>
    </row>
    <row r="498" spans="2:2" x14ac:dyDescent="0.35">
      <c r="B498">
        <f>books!B688</f>
        <v>0</v>
      </c>
    </row>
    <row r="499" spans="2:2" x14ac:dyDescent="0.35">
      <c r="B499">
        <f>books!B689</f>
        <v>0</v>
      </c>
    </row>
    <row r="500" spans="2:2" x14ac:dyDescent="0.35">
      <c r="B500">
        <f>books!B690</f>
        <v>0</v>
      </c>
    </row>
    <row r="501" spans="2:2" x14ac:dyDescent="0.35">
      <c r="B501">
        <f>books!B691</f>
        <v>0</v>
      </c>
    </row>
    <row r="502" spans="2:2" x14ac:dyDescent="0.35">
      <c r="B502">
        <f>books!B692</f>
        <v>0</v>
      </c>
    </row>
    <row r="503" spans="2:2" x14ac:dyDescent="0.35">
      <c r="B503">
        <f>books!B693</f>
        <v>0</v>
      </c>
    </row>
    <row r="504" spans="2:2" x14ac:dyDescent="0.35">
      <c r="B504">
        <f>books!B694</f>
        <v>0</v>
      </c>
    </row>
    <row r="505" spans="2:2" x14ac:dyDescent="0.35">
      <c r="B505">
        <f>books!B695</f>
        <v>0</v>
      </c>
    </row>
    <row r="506" spans="2:2" x14ac:dyDescent="0.35">
      <c r="B506">
        <f>books!B696</f>
        <v>0</v>
      </c>
    </row>
    <row r="507" spans="2:2" x14ac:dyDescent="0.35">
      <c r="B507">
        <f>books!B697</f>
        <v>0</v>
      </c>
    </row>
    <row r="508" spans="2:2" x14ac:dyDescent="0.35">
      <c r="B508">
        <f>books!B698</f>
        <v>0</v>
      </c>
    </row>
    <row r="509" spans="2:2" x14ac:dyDescent="0.35">
      <c r="B509">
        <f>books!B699</f>
        <v>0</v>
      </c>
    </row>
    <row r="510" spans="2:2" x14ac:dyDescent="0.35">
      <c r="B510">
        <f>books!B700</f>
        <v>0</v>
      </c>
    </row>
    <row r="511" spans="2:2" x14ac:dyDescent="0.35">
      <c r="B511">
        <f>books!B701</f>
        <v>0</v>
      </c>
    </row>
    <row r="512" spans="2:2" x14ac:dyDescent="0.35">
      <c r="B512">
        <f>books!B702</f>
        <v>0</v>
      </c>
    </row>
    <row r="513" spans="2:2" x14ac:dyDescent="0.35">
      <c r="B513">
        <f>books!B703</f>
        <v>0</v>
      </c>
    </row>
    <row r="514" spans="2:2" x14ac:dyDescent="0.35">
      <c r="B514">
        <f>books!B704</f>
        <v>0</v>
      </c>
    </row>
    <row r="515" spans="2:2" x14ac:dyDescent="0.35">
      <c r="B515">
        <f>books!B705</f>
        <v>0</v>
      </c>
    </row>
    <row r="516" spans="2:2" x14ac:dyDescent="0.35">
      <c r="B516">
        <f>books!B706</f>
        <v>0</v>
      </c>
    </row>
    <row r="517" spans="2:2" x14ac:dyDescent="0.35">
      <c r="B517">
        <f>books!B707</f>
        <v>0</v>
      </c>
    </row>
    <row r="518" spans="2:2" x14ac:dyDescent="0.35">
      <c r="B518">
        <f>books!B708</f>
        <v>0</v>
      </c>
    </row>
    <row r="519" spans="2:2" x14ac:dyDescent="0.35">
      <c r="B519">
        <f>books!B709</f>
        <v>0</v>
      </c>
    </row>
    <row r="520" spans="2:2" x14ac:dyDescent="0.35">
      <c r="B520">
        <f>books!B710</f>
        <v>0</v>
      </c>
    </row>
    <row r="521" spans="2:2" x14ac:dyDescent="0.35">
      <c r="B521">
        <f>books!B711</f>
        <v>0</v>
      </c>
    </row>
    <row r="522" spans="2:2" x14ac:dyDescent="0.35">
      <c r="B522">
        <f>books!B712</f>
        <v>0</v>
      </c>
    </row>
    <row r="523" spans="2:2" x14ac:dyDescent="0.35">
      <c r="B523">
        <f>books!B713</f>
        <v>0</v>
      </c>
    </row>
    <row r="524" spans="2:2" x14ac:dyDescent="0.35">
      <c r="B524">
        <f>books!B714</f>
        <v>0</v>
      </c>
    </row>
    <row r="525" spans="2:2" x14ac:dyDescent="0.35">
      <c r="B525">
        <f>books!B715</f>
        <v>0</v>
      </c>
    </row>
    <row r="526" spans="2:2" x14ac:dyDescent="0.35">
      <c r="B526">
        <f>books!B716</f>
        <v>0</v>
      </c>
    </row>
    <row r="527" spans="2:2" x14ac:dyDescent="0.35">
      <c r="B527">
        <f>books!B717</f>
        <v>0</v>
      </c>
    </row>
    <row r="528" spans="2:2" x14ac:dyDescent="0.35">
      <c r="B528">
        <f>books!B718</f>
        <v>0</v>
      </c>
    </row>
    <row r="529" spans="2:2" x14ac:dyDescent="0.35">
      <c r="B529">
        <f>books!B719</f>
        <v>0</v>
      </c>
    </row>
    <row r="530" spans="2:2" x14ac:dyDescent="0.35">
      <c r="B530">
        <f>books!B720</f>
        <v>0</v>
      </c>
    </row>
    <row r="531" spans="2:2" x14ac:dyDescent="0.35">
      <c r="B531">
        <f>books!B721</f>
        <v>0</v>
      </c>
    </row>
    <row r="532" spans="2:2" x14ac:dyDescent="0.35">
      <c r="B532">
        <f>books!B722</f>
        <v>0</v>
      </c>
    </row>
    <row r="533" spans="2:2" x14ac:dyDescent="0.35">
      <c r="B533">
        <f>books!B723</f>
        <v>0</v>
      </c>
    </row>
    <row r="534" spans="2:2" x14ac:dyDescent="0.35">
      <c r="B534">
        <f>books!B724</f>
        <v>0</v>
      </c>
    </row>
    <row r="535" spans="2:2" x14ac:dyDescent="0.35">
      <c r="B535">
        <f>books!B725</f>
        <v>0</v>
      </c>
    </row>
    <row r="536" spans="2:2" x14ac:dyDescent="0.35">
      <c r="B536">
        <f>books!B726</f>
        <v>0</v>
      </c>
    </row>
    <row r="537" spans="2:2" x14ac:dyDescent="0.35">
      <c r="B537">
        <f>books!B727</f>
        <v>0</v>
      </c>
    </row>
    <row r="538" spans="2:2" x14ac:dyDescent="0.35">
      <c r="B538">
        <f>books!B728</f>
        <v>0</v>
      </c>
    </row>
    <row r="539" spans="2:2" x14ac:dyDescent="0.35">
      <c r="B539">
        <f>books!B729</f>
        <v>0</v>
      </c>
    </row>
    <row r="540" spans="2:2" x14ac:dyDescent="0.35">
      <c r="B540">
        <f>books!B730</f>
        <v>0</v>
      </c>
    </row>
    <row r="541" spans="2:2" x14ac:dyDescent="0.35">
      <c r="B541">
        <f>books!B731</f>
        <v>0</v>
      </c>
    </row>
    <row r="542" spans="2:2" x14ac:dyDescent="0.35">
      <c r="B542">
        <f>books!B732</f>
        <v>0</v>
      </c>
    </row>
    <row r="543" spans="2:2" x14ac:dyDescent="0.35">
      <c r="B543">
        <f>books!B733</f>
        <v>0</v>
      </c>
    </row>
    <row r="544" spans="2:2" x14ac:dyDescent="0.35">
      <c r="B544">
        <f>books!B734</f>
        <v>0</v>
      </c>
    </row>
    <row r="545" spans="2:2" x14ac:dyDescent="0.35">
      <c r="B545">
        <f>books!B735</f>
        <v>0</v>
      </c>
    </row>
    <row r="546" spans="2:2" x14ac:dyDescent="0.35">
      <c r="B546">
        <f>books!B736</f>
        <v>0</v>
      </c>
    </row>
    <row r="547" spans="2:2" x14ac:dyDescent="0.35">
      <c r="B547">
        <f>books!B737</f>
        <v>0</v>
      </c>
    </row>
    <row r="548" spans="2:2" x14ac:dyDescent="0.35">
      <c r="B548">
        <f>books!B738</f>
        <v>0</v>
      </c>
    </row>
    <row r="549" spans="2:2" x14ac:dyDescent="0.35">
      <c r="B549">
        <f>books!B739</f>
        <v>0</v>
      </c>
    </row>
    <row r="550" spans="2:2" x14ac:dyDescent="0.35">
      <c r="B550">
        <f>books!B740</f>
        <v>0</v>
      </c>
    </row>
    <row r="551" spans="2:2" x14ac:dyDescent="0.35">
      <c r="B551">
        <f>books!B741</f>
        <v>0</v>
      </c>
    </row>
    <row r="552" spans="2:2" x14ac:dyDescent="0.35">
      <c r="B552">
        <f>books!B742</f>
        <v>0</v>
      </c>
    </row>
    <row r="553" spans="2:2" x14ac:dyDescent="0.35">
      <c r="B553">
        <f>books!B743</f>
        <v>0</v>
      </c>
    </row>
    <row r="554" spans="2:2" x14ac:dyDescent="0.35">
      <c r="B554">
        <f>books!B744</f>
        <v>0</v>
      </c>
    </row>
    <row r="555" spans="2:2" x14ac:dyDescent="0.35">
      <c r="B555">
        <f>books!B745</f>
        <v>0</v>
      </c>
    </row>
    <row r="556" spans="2:2" x14ac:dyDescent="0.35">
      <c r="B556">
        <f>books!B746</f>
        <v>0</v>
      </c>
    </row>
    <row r="557" spans="2:2" x14ac:dyDescent="0.35">
      <c r="B557">
        <f>books!B747</f>
        <v>0</v>
      </c>
    </row>
    <row r="558" spans="2:2" x14ac:dyDescent="0.35">
      <c r="B558">
        <f>books!B748</f>
        <v>0</v>
      </c>
    </row>
    <row r="559" spans="2:2" x14ac:dyDescent="0.35">
      <c r="B559">
        <f>books!B749</f>
        <v>0</v>
      </c>
    </row>
    <row r="560" spans="2:2" x14ac:dyDescent="0.35">
      <c r="B560">
        <f>books!B750</f>
        <v>0</v>
      </c>
    </row>
    <row r="561" spans="2:2" x14ac:dyDescent="0.35">
      <c r="B561">
        <f>books!B751</f>
        <v>0</v>
      </c>
    </row>
    <row r="562" spans="2:2" x14ac:dyDescent="0.35">
      <c r="B562">
        <f>books!B752</f>
        <v>0</v>
      </c>
    </row>
    <row r="563" spans="2:2" x14ac:dyDescent="0.35">
      <c r="B563">
        <f>books!B753</f>
        <v>0</v>
      </c>
    </row>
    <row r="564" spans="2:2" x14ac:dyDescent="0.35">
      <c r="B564">
        <f>books!B754</f>
        <v>0</v>
      </c>
    </row>
    <row r="565" spans="2:2" x14ac:dyDescent="0.35">
      <c r="B565">
        <f>books!B755</f>
        <v>0</v>
      </c>
    </row>
    <row r="566" spans="2:2" x14ac:dyDescent="0.35">
      <c r="B566">
        <f>books!B756</f>
        <v>0</v>
      </c>
    </row>
    <row r="567" spans="2:2" x14ac:dyDescent="0.35">
      <c r="B567">
        <f>books!B757</f>
        <v>0</v>
      </c>
    </row>
    <row r="568" spans="2:2" x14ac:dyDescent="0.35">
      <c r="B568">
        <f>books!B758</f>
        <v>0</v>
      </c>
    </row>
    <row r="569" spans="2:2" x14ac:dyDescent="0.35">
      <c r="B569">
        <f>books!B759</f>
        <v>0</v>
      </c>
    </row>
    <row r="570" spans="2:2" x14ac:dyDescent="0.35">
      <c r="B570">
        <f>books!B760</f>
        <v>0</v>
      </c>
    </row>
    <row r="571" spans="2:2" x14ac:dyDescent="0.35">
      <c r="B571">
        <f>books!B761</f>
        <v>0</v>
      </c>
    </row>
    <row r="572" spans="2:2" x14ac:dyDescent="0.35">
      <c r="B572">
        <f>books!B762</f>
        <v>0</v>
      </c>
    </row>
    <row r="573" spans="2:2" x14ac:dyDescent="0.35">
      <c r="B573">
        <f>books!B763</f>
        <v>0</v>
      </c>
    </row>
    <row r="574" spans="2:2" x14ac:dyDescent="0.35">
      <c r="B574">
        <f>books!B764</f>
        <v>0</v>
      </c>
    </row>
    <row r="575" spans="2:2" x14ac:dyDescent="0.35">
      <c r="B575">
        <f>books!B765</f>
        <v>0</v>
      </c>
    </row>
    <row r="576" spans="2:2" x14ac:dyDescent="0.35">
      <c r="B576">
        <f>books!B766</f>
        <v>0</v>
      </c>
    </row>
    <row r="577" spans="2:2" x14ac:dyDescent="0.35">
      <c r="B577">
        <f>books!B767</f>
        <v>0</v>
      </c>
    </row>
    <row r="578" spans="2:2" x14ac:dyDescent="0.35">
      <c r="B578">
        <f>books!B768</f>
        <v>0</v>
      </c>
    </row>
    <row r="579" spans="2:2" x14ac:dyDescent="0.35">
      <c r="B579">
        <f>books!B769</f>
        <v>0</v>
      </c>
    </row>
    <row r="580" spans="2:2" x14ac:dyDescent="0.35">
      <c r="B580">
        <f>books!B770</f>
        <v>0</v>
      </c>
    </row>
    <row r="581" spans="2:2" x14ac:dyDescent="0.35">
      <c r="B581">
        <f>books!B771</f>
        <v>0</v>
      </c>
    </row>
    <row r="582" spans="2:2" x14ac:dyDescent="0.35">
      <c r="B582">
        <f>books!B772</f>
        <v>0</v>
      </c>
    </row>
    <row r="583" spans="2:2" x14ac:dyDescent="0.35">
      <c r="B583">
        <f>books!B773</f>
        <v>0</v>
      </c>
    </row>
    <row r="584" spans="2:2" x14ac:dyDescent="0.35">
      <c r="B584">
        <f>books!B774</f>
        <v>0</v>
      </c>
    </row>
    <row r="585" spans="2:2" x14ac:dyDescent="0.35">
      <c r="B585">
        <f>books!B775</f>
        <v>0</v>
      </c>
    </row>
    <row r="586" spans="2:2" x14ac:dyDescent="0.35">
      <c r="B586">
        <f>books!B776</f>
        <v>0</v>
      </c>
    </row>
    <row r="587" spans="2:2" x14ac:dyDescent="0.35">
      <c r="B587">
        <f>books!B777</f>
        <v>0</v>
      </c>
    </row>
    <row r="588" spans="2:2" x14ac:dyDescent="0.35">
      <c r="B588">
        <f>books!B778</f>
        <v>0</v>
      </c>
    </row>
    <row r="589" spans="2:2" x14ac:dyDescent="0.35">
      <c r="B589">
        <f>books!B779</f>
        <v>0</v>
      </c>
    </row>
    <row r="590" spans="2:2" x14ac:dyDescent="0.35">
      <c r="B590">
        <f>books!B780</f>
        <v>0</v>
      </c>
    </row>
    <row r="591" spans="2:2" x14ac:dyDescent="0.35">
      <c r="B591">
        <f>books!B781</f>
        <v>0</v>
      </c>
    </row>
    <row r="592" spans="2:2" x14ac:dyDescent="0.35">
      <c r="B592">
        <f>books!B782</f>
        <v>0</v>
      </c>
    </row>
    <row r="593" spans="2:2" x14ac:dyDescent="0.35">
      <c r="B593">
        <f>books!B783</f>
        <v>0</v>
      </c>
    </row>
    <row r="594" spans="2:2" x14ac:dyDescent="0.35">
      <c r="B594">
        <f>books!B784</f>
        <v>0</v>
      </c>
    </row>
    <row r="595" spans="2:2" x14ac:dyDescent="0.35">
      <c r="B595">
        <f>books!B785</f>
        <v>0</v>
      </c>
    </row>
    <row r="596" spans="2:2" x14ac:dyDescent="0.35">
      <c r="B596">
        <f>books!B786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51AB-C517-4478-90F3-EB66D7222A8F}">
  <sheetPr codeName="Sheet4"/>
  <dimension ref="A1:BI596"/>
  <sheetViews>
    <sheetView workbookViewId="0">
      <selection activeCell="V6" sqref="V6"/>
    </sheetView>
  </sheetViews>
  <sheetFormatPr defaultRowHeight="14.5" x14ac:dyDescent="0.35"/>
  <cols>
    <col min="2" max="2" width="0" hidden="1" customWidth="1"/>
  </cols>
  <sheetData>
    <row r="1" spans="1:26" x14ac:dyDescent="0.35">
      <c r="A1" t="str" cm="1">
        <f t="array" ref="A1:A417">_xlfn.UNIQUE(books!B1:B594)</f>
        <v>Madeline L'Engle</v>
      </c>
      <c r="B1" t="str">
        <f>books!B1</f>
        <v>Madeline L'Engle</v>
      </c>
      <c r="C1">
        <v>10</v>
      </c>
      <c r="D1">
        <v>8</v>
      </c>
      <c r="E1">
        <v>10</v>
      </c>
      <c r="F1">
        <v>9</v>
      </c>
      <c r="G1">
        <v>9</v>
      </c>
      <c r="H1">
        <v>9</v>
      </c>
      <c r="I1">
        <v>8</v>
      </c>
    </row>
    <row r="2" spans="1:26" x14ac:dyDescent="0.35">
      <c r="A2" t="str">
        <v>Christopher Paolini</v>
      </c>
      <c r="B2" t="str">
        <f>books!B2</f>
        <v>Christopher Paolini</v>
      </c>
      <c r="C2">
        <v>10</v>
      </c>
      <c r="D2">
        <v>9</v>
      </c>
      <c r="E2">
        <v>8</v>
      </c>
      <c r="F2">
        <v>8</v>
      </c>
    </row>
    <row r="3" spans="1:26" x14ac:dyDescent="0.35">
      <c r="A3" t="str">
        <v>Rick Riordan</v>
      </c>
      <c r="B3" t="str">
        <f>books!B3</f>
        <v>Rick Riordan</v>
      </c>
      <c r="C3">
        <v>10</v>
      </c>
      <c r="D3">
        <v>8</v>
      </c>
      <c r="E3">
        <v>9</v>
      </c>
      <c r="F3">
        <v>8</v>
      </c>
      <c r="G3">
        <v>9</v>
      </c>
      <c r="H3">
        <v>6</v>
      </c>
      <c r="I3">
        <v>10</v>
      </c>
      <c r="J3">
        <v>10</v>
      </c>
      <c r="K3">
        <v>10</v>
      </c>
      <c r="L3">
        <v>9</v>
      </c>
      <c r="M3">
        <v>9</v>
      </c>
      <c r="N3">
        <v>8</v>
      </c>
      <c r="O3">
        <v>9</v>
      </c>
      <c r="P3">
        <v>8</v>
      </c>
      <c r="Q3">
        <v>8</v>
      </c>
      <c r="R3">
        <v>8</v>
      </c>
      <c r="S3">
        <v>9</v>
      </c>
      <c r="T3">
        <v>9</v>
      </c>
      <c r="U3">
        <v>9</v>
      </c>
    </row>
    <row r="4" spans="1:26" x14ac:dyDescent="0.35">
      <c r="A4" t="str">
        <v>Brian Jaques</v>
      </c>
      <c r="B4" t="str">
        <f>books!B4</f>
        <v>Brian Jaques</v>
      </c>
      <c r="C4">
        <v>10</v>
      </c>
      <c r="D4">
        <v>10</v>
      </c>
      <c r="E4">
        <v>10</v>
      </c>
      <c r="F4">
        <v>10</v>
      </c>
      <c r="G4">
        <v>10</v>
      </c>
      <c r="H4">
        <v>10</v>
      </c>
      <c r="I4">
        <v>10</v>
      </c>
      <c r="J4">
        <v>10</v>
      </c>
      <c r="K4">
        <v>10</v>
      </c>
      <c r="L4">
        <v>10</v>
      </c>
      <c r="M4">
        <v>10</v>
      </c>
      <c r="N4">
        <v>10</v>
      </c>
      <c r="O4">
        <v>10</v>
      </c>
      <c r="P4">
        <v>10</v>
      </c>
      <c r="Q4">
        <v>10</v>
      </c>
      <c r="R4">
        <v>10</v>
      </c>
      <c r="S4">
        <v>10</v>
      </c>
      <c r="T4">
        <v>10</v>
      </c>
      <c r="U4">
        <v>10</v>
      </c>
      <c r="V4">
        <v>10</v>
      </c>
      <c r="W4">
        <v>10</v>
      </c>
      <c r="X4">
        <v>10</v>
      </c>
      <c r="Y4">
        <v>10</v>
      </c>
      <c r="Z4">
        <v>9</v>
      </c>
    </row>
    <row r="5" spans="1:26" x14ac:dyDescent="0.35">
      <c r="A5" t="str">
        <v>Ursula Le Guin</v>
      </c>
      <c r="B5" t="str">
        <f>books!B5</f>
        <v>Ursula Le Guin</v>
      </c>
      <c r="C5">
        <v>10</v>
      </c>
      <c r="D5">
        <v>9</v>
      </c>
      <c r="E5">
        <v>10</v>
      </c>
      <c r="F5">
        <v>10</v>
      </c>
      <c r="G5">
        <v>9</v>
      </c>
      <c r="H5">
        <v>9</v>
      </c>
      <c r="I5">
        <v>9</v>
      </c>
      <c r="J5">
        <v>10</v>
      </c>
      <c r="K5">
        <v>10</v>
      </c>
      <c r="L5">
        <v>7</v>
      </c>
      <c r="M5">
        <v>9</v>
      </c>
      <c r="N5">
        <v>10</v>
      </c>
      <c r="O5">
        <v>10</v>
      </c>
      <c r="P5">
        <v>9</v>
      </c>
      <c r="Q5">
        <v>9</v>
      </c>
      <c r="R5">
        <v>8</v>
      </c>
      <c r="S5">
        <v>8</v>
      </c>
      <c r="T5">
        <v>9</v>
      </c>
      <c r="U5">
        <v>10</v>
      </c>
      <c r="V5">
        <v>9</v>
      </c>
    </row>
    <row r="6" spans="1:26" x14ac:dyDescent="0.35">
      <c r="A6" t="str">
        <v>Seth Stephens-Davidowitz</v>
      </c>
      <c r="B6" t="str">
        <f>books!B6</f>
        <v>Seth Stephens-Davidowitz</v>
      </c>
      <c r="C6">
        <v>8</v>
      </c>
    </row>
    <row r="7" spans="1:26" x14ac:dyDescent="0.35">
      <c r="A7" t="str">
        <v>C.S. Lewis</v>
      </c>
      <c r="B7" t="str">
        <f>books!B7</f>
        <v>C.S. Lewis</v>
      </c>
      <c r="C7">
        <v>9</v>
      </c>
      <c r="D7">
        <v>10</v>
      </c>
      <c r="E7">
        <v>9</v>
      </c>
      <c r="F7">
        <v>10</v>
      </c>
      <c r="G7">
        <v>9</v>
      </c>
      <c r="H7">
        <v>10</v>
      </c>
      <c r="I7">
        <v>10</v>
      </c>
      <c r="J7">
        <v>10</v>
      </c>
      <c r="K7">
        <v>10</v>
      </c>
    </row>
    <row r="8" spans="1:26" x14ac:dyDescent="0.35">
      <c r="A8" t="str">
        <v>James Choung</v>
      </c>
      <c r="B8" t="str">
        <f>books!B8</f>
        <v>James Choung</v>
      </c>
      <c r="C8">
        <v>9</v>
      </c>
    </row>
    <row r="9" spans="1:26" x14ac:dyDescent="0.35">
      <c r="A9" t="str">
        <v>Aldous Huxley</v>
      </c>
      <c r="B9" t="str">
        <f>books!B9</f>
        <v>Aldous Huxley</v>
      </c>
      <c r="C9">
        <v>10</v>
      </c>
      <c r="D9">
        <v>7</v>
      </c>
    </row>
    <row r="10" spans="1:26" x14ac:dyDescent="0.35">
      <c r="A10" t="str">
        <v>Isaac Asimov</v>
      </c>
      <c r="B10" t="str">
        <f>books!B10</f>
        <v>Isaac Asimov</v>
      </c>
      <c r="C10">
        <v>10</v>
      </c>
      <c r="D10">
        <v>9</v>
      </c>
      <c r="E10">
        <v>10</v>
      </c>
      <c r="F10">
        <v>10</v>
      </c>
      <c r="G10">
        <v>10</v>
      </c>
      <c r="H10">
        <v>10</v>
      </c>
      <c r="I10">
        <v>8</v>
      </c>
    </row>
    <row r="11" spans="1:26" x14ac:dyDescent="0.35">
      <c r="A11" t="str">
        <v>JRR Tolkien</v>
      </c>
      <c r="B11" t="str">
        <f>books!B11</f>
        <v>JRR Tolkien</v>
      </c>
      <c r="C11">
        <v>9</v>
      </c>
      <c r="D11">
        <v>10</v>
      </c>
      <c r="E11">
        <v>9</v>
      </c>
      <c r="F11">
        <v>10</v>
      </c>
      <c r="G11">
        <v>10</v>
      </c>
      <c r="H11">
        <v>9</v>
      </c>
    </row>
    <row r="12" spans="1:26" x14ac:dyDescent="0.35">
      <c r="A12" t="str">
        <v>Susan Cooper</v>
      </c>
      <c r="B12" t="str">
        <f>books!B12</f>
        <v>Susan Cooper</v>
      </c>
      <c r="C12">
        <v>10</v>
      </c>
      <c r="D12">
        <v>10</v>
      </c>
      <c r="E12">
        <v>9</v>
      </c>
      <c r="F12">
        <v>9</v>
      </c>
      <c r="G12">
        <v>9</v>
      </c>
      <c r="H12">
        <v>9</v>
      </c>
      <c r="I12">
        <v>10</v>
      </c>
    </row>
    <row r="13" spans="1:26" x14ac:dyDescent="0.35">
      <c r="A13" t="str">
        <v>Angie Sage</v>
      </c>
      <c r="B13" t="str">
        <f>books!B13</f>
        <v>Angie Sage</v>
      </c>
      <c r="C13">
        <v>10</v>
      </c>
      <c r="D13">
        <v>10</v>
      </c>
      <c r="E13">
        <v>9</v>
      </c>
      <c r="F13">
        <v>9</v>
      </c>
      <c r="G13">
        <v>10</v>
      </c>
      <c r="H13">
        <v>10</v>
      </c>
      <c r="I13">
        <v>9</v>
      </c>
      <c r="J13">
        <v>9</v>
      </c>
      <c r="K13">
        <v>9</v>
      </c>
      <c r="L13">
        <v>10</v>
      </c>
    </row>
    <row r="14" spans="1:26" x14ac:dyDescent="0.35">
      <c r="A14" t="str">
        <v>Ingrid Law</v>
      </c>
      <c r="B14" t="str">
        <f>books!B14</f>
        <v>Ingrid Law</v>
      </c>
      <c r="C14">
        <v>8</v>
      </c>
      <c r="D14">
        <v>8</v>
      </c>
    </row>
    <row r="15" spans="1:26" x14ac:dyDescent="0.35">
      <c r="A15" t="str">
        <v>Frank Herbert</v>
      </c>
      <c r="B15" t="str">
        <f>books!B15</f>
        <v>Frank Herbert</v>
      </c>
      <c r="C15">
        <v>9</v>
      </c>
      <c r="D15">
        <v>9</v>
      </c>
      <c r="E15">
        <v>8</v>
      </c>
      <c r="F15">
        <v>7</v>
      </c>
      <c r="G15">
        <v>9</v>
      </c>
      <c r="H15">
        <v>9</v>
      </c>
      <c r="I15">
        <v>7</v>
      </c>
    </row>
    <row r="16" spans="1:26" x14ac:dyDescent="0.35">
      <c r="A16" t="str">
        <v>Kevin Anderson &amp; Brian Herbert</v>
      </c>
      <c r="B16" t="str">
        <f>books!B16</f>
        <v>Kevin Anderson &amp; Brian Herbert</v>
      </c>
      <c r="C16">
        <v>9</v>
      </c>
      <c r="D16">
        <v>10</v>
      </c>
      <c r="E16">
        <v>9</v>
      </c>
      <c r="F16">
        <v>10</v>
      </c>
      <c r="G16">
        <v>8</v>
      </c>
      <c r="H16">
        <v>10</v>
      </c>
      <c r="I16">
        <v>9</v>
      </c>
      <c r="J16">
        <v>9</v>
      </c>
      <c r="K16">
        <v>6</v>
      </c>
      <c r="L16">
        <v>6</v>
      </c>
      <c r="M16">
        <v>7</v>
      </c>
    </row>
    <row r="17" spans="1:26" x14ac:dyDescent="0.35">
      <c r="A17" t="str">
        <v>James Dashner</v>
      </c>
      <c r="B17" t="str">
        <f>books!B17</f>
        <v>James Dashner</v>
      </c>
      <c r="C17">
        <v>8</v>
      </c>
      <c r="D17">
        <v>8</v>
      </c>
      <c r="E17">
        <v>8</v>
      </c>
      <c r="F17">
        <v>8</v>
      </c>
      <c r="G17">
        <v>9</v>
      </c>
      <c r="H17">
        <v>8</v>
      </c>
      <c r="I17">
        <v>9</v>
      </c>
      <c r="J17">
        <v>8</v>
      </c>
      <c r="K17">
        <v>8</v>
      </c>
      <c r="L17">
        <v>8</v>
      </c>
      <c r="M17">
        <v>10</v>
      </c>
      <c r="N17">
        <v>9</v>
      </c>
    </row>
    <row r="18" spans="1:26" x14ac:dyDescent="0.35">
      <c r="A18" t="str">
        <v>Margaret Peterson Haddix</v>
      </c>
      <c r="B18" t="str">
        <f>books!B18</f>
        <v>Margaret Peterson Haddix</v>
      </c>
      <c r="C18">
        <v>8</v>
      </c>
      <c r="D18">
        <v>9</v>
      </c>
      <c r="E18">
        <v>8</v>
      </c>
      <c r="F18">
        <v>9</v>
      </c>
      <c r="G18">
        <v>8</v>
      </c>
      <c r="H18">
        <v>8</v>
      </c>
      <c r="I18">
        <v>7</v>
      </c>
      <c r="J18">
        <v>9</v>
      </c>
      <c r="K18">
        <v>10</v>
      </c>
      <c r="L18">
        <v>10</v>
      </c>
      <c r="M18">
        <v>10</v>
      </c>
      <c r="N18">
        <v>10</v>
      </c>
      <c r="O18">
        <v>9</v>
      </c>
      <c r="P18">
        <v>10</v>
      </c>
      <c r="Q18">
        <v>10</v>
      </c>
      <c r="R18">
        <v>10</v>
      </c>
      <c r="S18">
        <v>9</v>
      </c>
      <c r="T18">
        <v>9</v>
      </c>
      <c r="U18">
        <v>10</v>
      </c>
      <c r="V18">
        <v>8</v>
      </c>
      <c r="X18">
        <v>8</v>
      </c>
      <c r="Y18">
        <v>8</v>
      </c>
      <c r="Z18">
        <v>8</v>
      </c>
    </row>
    <row r="19" spans="1:26" x14ac:dyDescent="0.35">
      <c r="A19" t="str">
        <v>D.J. MacHale</v>
      </c>
      <c r="B19" t="str">
        <f>books!B19</f>
        <v>D.J. MacHale</v>
      </c>
      <c r="C19">
        <v>9</v>
      </c>
      <c r="D19">
        <v>9</v>
      </c>
      <c r="E19">
        <v>9</v>
      </c>
      <c r="F19">
        <v>10</v>
      </c>
      <c r="G19">
        <v>10</v>
      </c>
      <c r="H19">
        <v>8</v>
      </c>
      <c r="I19">
        <v>8</v>
      </c>
      <c r="J19">
        <v>8</v>
      </c>
      <c r="K19">
        <v>9</v>
      </c>
      <c r="L19">
        <v>9</v>
      </c>
    </row>
    <row r="20" spans="1:26" x14ac:dyDescent="0.35">
      <c r="A20" t="str">
        <v>Markus Zuzak</v>
      </c>
      <c r="B20" t="str">
        <f>books!B20</f>
        <v>Markus Zuzak</v>
      </c>
      <c r="C20">
        <v>10</v>
      </c>
      <c r="D20">
        <v>10</v>
      </c>
    </row>
    <row r="21" spans="1:26" x14ac:dyDescent="0.35">
      <c r="A21" t="str">
        <v>Suzanne Collins</v>
      </c>
      <c r="B21" t="str">
        <f>books!B21</f>
        <v>Suzanne Collins</v>
      </c>
      <c r="C21">
        <v>9</v>
      </c>
      <c r="D21">
        <v>8</v>
      </c>
      <c r="E21">
        <v>8</v>
      </c>
      <c r="F21">
        <v>9</v>
      </c>
      <c r="G21">
        <v>9</v>
      </c>
      <c r="H21">
        <v>9</v>
      </c>
      <c r="I21">
        <v>9</v>
      </c>
      <c r="J21">
        <v>9</v>
      </c>
    </row>
    <row r="22" spans="1:26" x14ac:dyDescent="0.35">
      <c r="A22" t="str">
        <v>Lois Lowry</v>
      </c>
      <c r="B22" t="str">
        <f>books!B22</f>
        <v>Lois Lowry</v>
      </c>
      <c r="C22">
        <v>10</v>
      </c>
      <c r="D22">
        <v>9</v>
      </c>
      <c r="E22">
        <v>10</v>
      </c>
      <c r="F22">
        <v>10</v>
      </c>
      <c r="G22">
        <v>8</v>
      </c>
      <c r="H22">
        <v>9</v>
      </c>
    </row>
    <row r="23" spans="1:26" x14ac:dyDescent="0.35">
      <c r="A23" t="str">
        <v>Cornelia Funke</v>
      </c>
      <c r="B23" t="str">
        <f>books!B23</f>
        <v>Cornelia Funke</v>
      </c>
      <c r="C23">
        <v>10</v>
      </c>
      <c r="D23">
        <v>10</v>
      </c>
      <c r="E23">
        <v>7</v>
      </c>
      <c r="F23">
        <v>10</v>
      </c>
      <c r="G23">
        <v>9</v>
      </c>
      <c r="H23">
        <v>8</v>
      </c>
    </row>
    <row r="24" spans="1:26" x14ac:dyDescent="0.35">
      <c r="A24" t="str">
        <v>Brian Sanderson</v>
      </c>
      <c r="B24" t="str">
        <f>books!B24</f>
        <v>Brian Sanderson</v>
      </c>
      <c r="C24">
        <v>10</v>
      </c>
      <c r="D24">
        <v>10</v>
      </c>
      <c r="E24">
        <v>10</v>
      </c>
    </row>
    <row r="25" spans="1:26" x14ac:dyDescent="0.35">
      <c r="A25" t="str">
        <v>Charles Stross</v>
      </c>
      <c r="B25" t="str">
        <f>books!B25</f>
        <v>Charles Stross</v>
      </c>
      <c r="C25">
        <v>10</v>
      </c>
      <c r="D25">
        <v>10</v>
      </c>
      <c r="E25">
        <v>10</v>
      </c>
      <c r="F25">
        <v>10</v>
      </c>
      <c r="G25">
        <v>10</v>
      </c>
      <c r="H25">
        <v>10</v>
      </c>
      <c r="I25">
        <v>10</v>
      </c>
      <c r="J25">
        <v>10</v>
      </c>
      <c r="K25">
        <v>10</v>
      </c>
      <c r="L25">
        <v>8</v>
      </c>
      <c r="M25">
        <v>9</v>
      </c>
    </row>
    <row r="26" spans="1:26" x14ac:dyDescent="0.35">
      <c r="A26" t="str">
        <v>Ridley Pearson and Dave Barry</v>
      </c>
      <c r="B26" t="str">
        <f>books!B26</f>
        <v>Ridley Pearson and Dave Barry</v>
      </c>
      <c r="C26">
        <v>10</v>
      </c>
      <c r="D26">
        <v>10</v>
      </c>
      <c r="E26">
        <v>9</v>
      </c>
      <c r="F26">
        <v>9</v>
      </c>
    </row>
    <row r="27" spans="1:26" x14ac:dyDescent="0.35">
      <c r="A27" t="str">
        <v>J.K. Rowling</v>
      </c>
      <c r="B27" t="str">
        <f>books!B27</f>
        <v>J.K. Rowling</v>
      </c>
      <c r="C27">
        <v>9</v>
      </c>
      <c r="D27">
        <v>8</v>
      </c>
      <c r="E27">
        <v>9</v>
      </c>
      <c r="F27">
        <v>8</v>
      </c>
      <c r="G27">
        <v>8</v>
      </c>
      <c r="H27">
        <v>8</v>
      </c>
      <c r="I27">
        <v>9</v>
      </c>
    </row>
    <row r="28" spans="1:26" x14ac:dyDescent="0.35">
      <c r="A28" t="str">
        <v>Anne McCaffrey</v>
      </c>
      <c r="B28" t="str">
        <f>books!B28</f>
        <v>Anne McCaffrey</v>
      </c>
      <c r="C28">
        <v>9</v>
      </c>
      <c r="D28">
        <v>9</v>
      </c>
      <c r="E28">
        <v>9</v>
      </c>
      <c r="F28">
        <v>9</v>
      </c>
      <c r="G28">
        <v>9</v>
      </c>
      <c r="H28">
        <v>10</v>
      </c>
      <c r="I28">
        <v>9</v>
      </c>
    </row>
    <row r="29" spans="1:26" x14ac:dyDescent="0.35">
      <c r="A29" t="str">
        <v>Andrew Clements</v>
      </c>
      <c r="B29" t="str">
        <f>books!B29</f>
        <v>Andrew Clements</v>
      </c>
      <c r="C29">
        <v>10</v>
      </c>
      <c r="D29">
        <v>9</v>
      </c>
      <c r="E29">
        <v>8</v>
      </c>
      <c r="F29">
        <v>10</v>
      </c>
      <c r="G29">
        <v>8</v>
      </c>
      <c r="H29">
        <v>10</v>
      </c>
    </row>
    <row r="30" spans="1:26" x14ac:dyDescent="0.35">
      <c r="A30" t="str">
        <v>Robert O'Brien</v>
      </c>
      <c r="B30" t="str">
        <f>books!B30</f>
        <v>Robert O'Brien</v>
      </c>
      <c r="C30">
        <v>9</v>
      </c>
    </row>
    <row r="31" spans="1:26" x14ac:dyDescent="0.35">
      <c r="A31" t="str">
        <v>Lillian Jackson Braun</v>
      </c>
      <c r="B31" t="str">
        <f>books!B31</f>
        <v>Lillian Jackson Braun</v>
      </c>
      <c r="C31">
        <v>8</v>
      </c>
      <c r="D31">
        <v>8</v>
      </c>
      <c r="E31">
        <v>8</v>
      </c>
      <c r="F31">
        <v>8</v>
      </c>
      <c r="G31">
        <v>8</v>
      </c>
      <c r="H31">
        <v>8</v>
      </c>
      <c r="I31">
        <v>8</v>
      </c>
    </row>
    <row r="32" spans="1:26" x14ac:dyDescent="0.35">
      <c r="A32" t="str">
        <v>Elizabeth Enright</v>
      </c>
      <c r="B32" t="str">
        <f>books!B32</f>
        <v>Elizabeth Enright</v>
      </c>
      <c r="C32">
        <v>10</v>
      </c>
      <c r="D32">
        <v>9</v>
      </c>
    </row>
    <row r="33" spans="1:14" x14ac:dyDescent="0.35">
      <c r="A33" t="str">
        <v>Frances Burnett</v>
      </c>
      <c r="B33" t="str">
        <f>books!B33</f>
        <v>Frances Burnett</v>
      </c>
      <c r="C33">
        <v>10</v>
      </c>
      <c r="D33">
        <v>10</v>
      </c>
    </row>
    <row r="34" spans="1:14" x14ac:dyDescent="0.35">
      <c r="A34" t="str">
        <v>Johann Wyss</v>
      </c>
      <c r="B34" t="str">
        <f>books!B34</f>
        <v>Johann Wyss</v>
      </c>
      <c r="C34">
        <v>9</v>
      </c>
    </row>
    <row r="35" spans="1:14" x14ac:dyDescent="0.35">
      <c r="A35" t="str">
        <v>Anna Sewell</v>
      </c>
      <c r="B35" t="str">
        <f>books!B35</f>
        <v>Anna Sewell</v>
      </c>
      <c r="C35">
        <v>6</v>
      </c>
    </row>
    <row r="36" spans="1:14" x14ac:dyDescent="0.35">
      <c r="A36" t="str">
        <v>Marguerite Henry</v>
      </c>
      <c r="B36" t="str">
        <f>books!B36</f>
        <v>Marguerite Henry</v>
      </c>
      <c r="C36">
        <v>7</v>
      </c>
      <c r="D36">
        <v>7</v>
      </c>
      <c r="E36">
        <v>7</v>
      </c>
      <c r="F36">
        <v>7</v>
      </c>
      <c r="G36">
        <v>7</v>
      </c>
      <c r="H36">
        <v>7</v>
      </c>
      <c r="I36">
        <v>7</v>
      </c>
      <c r="J36">
        <v>7</v>
      </c>
      <c r="K36">
        <v>7</v>
      </c>
      <c r="L36">
        <v>7</v>
      </c>
      <c r="M36">
        <v>7</v>
      </c>
    </row>
    <row r="37" spans="1:14" x14ac:dyDescent="0.35">
      <c r="A37" t="str">
        <v>Jeffery Dean</v>
      </c>
      <c r="B37" t="str">
        <f>books!B37</f>
        <v>Jeffery Dean</v>
      </c>
      <c r="C37">
        <v>7</v>
      </c>
      <c r="D37">
        <v>7</v>
      </c>
    </row>
    <row r="38" spans="1:14" x14ac:dyDescent="0.35">
      <c r="A38" t="str">
        <v>Gary Paulsen</v>
      </c>
      <c r="B38" t="str">
        <f>books!B38</f>
        <v>Gary Paulsen</v>
      </c>
      <c r="C38">
        <v>10</v>
      </c>
      <c r="D38">
        <v>8</v>
      </c>
      <c r="E38">
        <v>10</v>
      </c>
      <c r="F38">
        <v>9</v>
      </c>
      <c r="G38">
        <v>8</v>
      </c>
      <c r="H38">
        <v>9</v>
      </c>
      <c r="I38">
        <v>8</v>
      </c>
      <c r="J38">
        <v>8</v>
      </c>
      <c r="K38">
        <v>10</v>
      </c>
      <c r="L38">
        <v>10</v>
      </c>
      <c r="M38">
        <v>8</v>
      </c>
      <c r="N38">
        <v>9</v>
      </c>
    </row>
    <row r="39" spans="1:14" x14ac:dyDescent="0.35">
      <c r="A39" t="str">
        <v>Laura Wilder</v>
      </c>
      <c r="B39" t="str">
        <f>books!B39</f>
        <v>Laura Wilder</v>
      </c>
      <c r="C39">
        <v>10</v>
      </c>
      <c r="D39">
        <v>10</v>
      </c>
      <c r="E39">
        <v>10</v>
      </c>
      <c r="F39">
        <v>10</v>
      </c>
      <c r="G39">
        <v>10</v>
      </c>
      <c r="H39">
        <v>10</v>
      </c>
      <c r="I39">
        <v>10</v>
      </c>
      <c r="J39">
        <v>10</v>
      </c>
      <c r="K39">
        <v>10</v>
      </c>
      <c r="L39">
        <v>8</v>
      </c>
    </row>
    <row r="40" spans="1:14" x14ac:dyDescent="0.35">
      <c r="A40" t="str">
        <v>Cristopher Curtis</v>
      </c>
      <c r="B40" t="str">
        <f>books!B40</f>
        <v>Cristopher Curtis</v>
      </c>
      <c r="C40">
        <v>10</v>
      </c>
    </row>
    <row r="41" spans="1:14" x14ac:dyDescent="0.35">
      <c r="A41" t="str">
        <v>Bernard Evslin</v>
      </c>
      <c r="B41" t="str">
        <f>books!B41</f>
        <v>Bernard Evslin</v>
      </c>
      <c r="C41">
        <v>7</v>
      </c>
    </row>
    <row r="42" spans="1:14" x14ac:dyDescent="0.35">
      <c r="A42" t="str">
        <v>Robert McCloskey</v>
      </c>
      <c r="B42" t="str">
        <f>books!B42</f>
        <v>Robert McCloskey</v>
      </c>
      <c r="C42">
        <v>10</v>
      </c>
      <c r="D42">
        <v>10</v>
      </c>
    </row>
    <row r="43" spans="1:14" x14ac:dyDescent="0.35">
      <c r="A43" t="str">
        <v>Kenneth Thomasma</v>
      </c>
      <c r="B43" t="str">
        <f>books!B43</f>
        <v>Kenneth Thomasma</v>
      </c>
      <c r="C43">
        <v>8</v>
      </c>
      <c r="D43">
        <v>8</v>
      </c>
      <c r="E43">
        <v>8</v>
      </c>
    </row>
    <row r="44" spans="1:14" x14ac:dyDescent="0.35">
      <c r="A44" t="str">
        <v>Edith Hunter</v>
      </c>
      <c r="B44" t="str">
        <f>books!B44</f>
        <v>Edith Hunter</v>
      </c>
      <c r="C44">
        <v>8</v>
      </c>
    </row>
    <row r="45" spans="1:14" x14ac:dyDescent="0.35">
      <c r="A45" t="str">
        <v>Michael Bond</v>
      </c>
      <c r="B45" t="str">
        <f>books!B45</f>
        <v>Michael Bond</v>
      </c>
      <c r="C45">
        <v>9</v>
      </c>
    </row>
    <row r="46" spans="1:14" x14ac:dyDescent="0.35">
      <c r="A46" t="str">
        <v>Roald Dahl</v>
      </c>
      <c r="B46" t="str">
        <f>books!B46</f>
        <v>Roald Dahl</v>
      </c>
      <c r="C46">
        <v>9</v>
      </c>
      <c r="D46">
        <v>10</v>
      </c>
      <c r="E46">
        <v>9</v>
      </c>
      <c r="F46">
        <v>9</v>
      </c>
      <c r="G46">
        <v>9</v>
      </c>
      <c r="H46">
        <v>9</v>
      </c>
      <c r="I46">
        <v>8</v>
      </c>
      <c r="J46">
        <v>9</v>
      </c>
      <c r="K46">
        <v>9</v>
      </c>
      <c r="L46">
        <v>9</v>
      </c>
      <c r="M46">
        <v>9</v>
      </c>
      <c r="N46">
        <v>10</v>
      </c>
    </row>
    <row r="47" spans="1:14" x14ac:dyDescent="0.35">
      <c r="A47" t="str">
        <v>Elizabeth Yates</v>
      </c>
      <c r="B47" t="str">
        <f>books!B47</f>
        <v>Elizabeth Yates</v>
      </c>
      <c r="C47">
        <v>8</v>
      </c>
    </row>
    <row r="48" spans="1:14" x14ac:dyDescent="0.35">
      <c r="A48" t="str">
        <v>Mary Shelly</v>
      </c>
      <c r="B48" t="str">
        <f>books!B48</f>
        <v>Mary Shelly</v>
      </c>
      <c r="C48">
        <v>8</v>
      </c>
    </row>
    <row r="49" spans="1:49" x14ac:dyDescent="0.35">
      <c r="A49" t="str">
        <v>Jenny Nimmo</v>
      </c>
      <c r="B49" t="str">
        <f>books!B49</f>
        <v>Jenny Nimmo</v>
      </c>
      <c r="C49">
        <v>9</v>
      </c>
      <c r="D49">
        <v>9</v>
      </c>
      <c r="E49">
        <v>9</v>
      </c>
      <c r="F49">
        <v>9</v>
      </c>
      <c r="G49">
        <v>9</v>
      </c>
      <c r="H49">
        <v>9</v>
      </c>
      <c r="I49">
        <v>9</v>
      </c>
    </row>
    <row r="50" spans="1:49" x14ac:dyDescent="0.35">
      <c r="A50" t="str">
        <v>Michael Buckley</v>
      </c>
      <c r="B50" t="str">
        <f>books!B50</f>
        <v>Michael Buckley</v>
      </c>
      <c r="C50">
        <v>9</v>
      </c>
      <c r="D50">
        <v>9</v>
      </c>
      <c r="E50">
        <v>9</v>
      </c>
      <c r="F50">
        <v>9</v>
      </c>
      <c r="G50">
        <v>9</v>
      </c>
      <c r="H50">
        <v>9</v>
      </c>
      <c r="I50">
        <v>9</v>
      </c>
      <c r="J50">
        <v>9</v>
      </c>
      <c r="K50">
        <v>9</v>
      </c>
    </row>
    <row r="51" spans="1:49" x14ac:dyDescent="0.35">
      <c r="A51" t="str">
        <v>Clive Cussler</v>
      </c>
      <c r="B51" t="str">
        <f>books!B51</f>
        <v>Clive Cussler</v>
      </c>
      <c r="C51">
        <v>9</v>
      </c>
      <c r="D51">
        <v>8</v>
      </c>
      <c r="E51">
        <v>8</v>
      </c>
      <c r="F51">
        <v>9</v>
      </c>
    </row>
    <row r="52" spans="1:49" x14ac:dyDescent="0.35">
      <c r="A52" t="str">
        <v>Terry Brooks</v>
      </c>
      <c r="B52" t="str">
        <f>books!B52</f>
        <v>Terry Brooks</v>
      </c>
      <c r="C52">
        <v>9</v>
      </c>
      <c r="D52">
        <v>9</v>
      </c>
      <c r="E52">
        <v>9</v>
      </c>
      <c r="F52">
        <v>9</v>
      </c>
      <c r="G52">
        <v>9</v>
      </c>
      <c r="H52">
        <v>9</v>
      </c>
      <c r="I52">
        <v>9</v>
      </c>
      <c r="J52">
        <v>9</v>
      </c>
      <c r="K52">
        <v>7</v>
      </c>
    </row>
    <row r="53" spans="1:49" x14ac:dyDescent="0.35">
      <c r="A53" t="str">
        <v>Kristin Cashore</v>
      </c>
      <c r="B53" t="str">
        <f>books!B53</f>
        <v>Kristin Cashore</v>
      </c>
      <c r="C53">
        <v>9</v>
      </c>
      <c r="D53">
        <v>8</v>
      </c>
      <c r="E53">
        <v>8</v>
      </c>
    </row>
    <row r="54" spans="1:49" x14ac:dyDescent="0.35">
      <c r="A54" t="str">
        <v>Chris D'lacey</v>
      </c>
      <c r="B54" t="str">
        <f>books!B54</f>
        <v>Chris D'lacey</v>
      </c>
      <c r="C54">
        <v>10</v>
      </c>
      <c r="D54">
        <v>9</v>
      </c>
      <c r="E54">
        <v>9</v>
      </c>
      <c r="F54">
        <v>9</v>
      </c>
      <c r="G54">
        <v>9</v>
      </c>
      <c r="H54">
        <v>9</v>
      </c>
      <c r="I54">
        <v>9</v>
      </c>
    </row>
    <row r="55" spans="1:49" x14ac:dyDescent="0.35">
      <c r="A55" t="str">
        <v>Katherine Applegate</v>
      </c>
      <c r="B55" t="str">
        <f>books!B55</f>
        <v>Katherine Applegate</v>
      </c>
      <c r="C55">
        <v>7</v>
      </c>
      <c r="D55">
        <v>7</v>
      </c>
      <c r="E55">
        <v>7</v>
      </c>
      <c r="F55">
        <v>7</v>
      </c>
      <c r="G55">
        <v>7</v>
      </c>
      <c r="H55">
        <v>7</v>
      </c>
      <c r="I55">
        <v>7</v>
      </c>
      <c r="J55">
        <v>7</v>
      </c>
      <c r="K55">
        <v>7</v>
      </c>
      <c r="L55">
        <v>7</v>
      </c>
      <c r="M55">
        <v>7</v>
      </c>
      <c r="N55">
        <v>7</v>
      </c>
      <c r="O55">
        <v>7</v>
      </c>
      <c r="P55">
        <v>7</v>
      </c>
      <c r="Q55">
        <v>7</v>
      </c>
      <c r="R55">
        <v>7</v>
      </c>
      <c r="S55">
        <v>7</v>
      </c>
      <c r="T55">
        <v>7</v>
      </c>
      <c r="U55">
        <v>7</v>
      </c>
      <c r="V55">
        <v>7</v>
      </c>
      <c r="W55">
        <v>7</v>
      </c>
      <c r="X55">
        <v>7</v>
      </c>
      <c r="Y55">
        <v>7</v>
      </c>
      <c r="Z55">
        <v>7</v>
      </c>
      <c r="AA55">
        <v>7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7</v>
      </c>
      <c r="AH55">
        <v>6</v>
      </c>
      <c r="AI55">
        <v>6</v>
      </c>
      <c r="AJ55">
        <v>6</v>
      </c>
      <c r="AK55">
        <v>6</v>
      </c>
      <c r="AL55">
        <v>6</v>
      </c>
      <c r="AM55">
        <v>6</v>
      </c>
      <c r="AN55">
        <v>6</v>
      </c>
      <c r="AO55">
        <v>6</v>
      </c>
      <c r="AP55">
        <v>6</v>
      </c>
      <c r="AQ55">
        <v>6</v>
      </c>
      <c r="AR55">
        <v>6</v>
      </c>
      <c r="AS55">
        <v>6</v>
      </c>
      <c r="AT55">
        <v>6</v>
      </c>
      <c r="AU55">
        <v>6</v>
      </c>
      <c r="AV55">
        <v>7</v>
      </c>
      <c r="AW55">
        <v>7</v>
      </c>
    </row>
    <row r="56" spans="1:49" x14ac:dyDescent="0.35">
      <c r="A56" t="str">
        <v>Eleanor Estes</v>
      </c>
      <c r="B56" t="str">
        <f>books!B56</f>
        <v>Eleanor Estes</v>
      </c>
      <c r="C56">
        <v>9</v>
      </c>
      <c r="D56">
        <v>7</v>
      </c>
      <c r="E56">
        <v>9</v>
      </c>
      <c r="F56">
        <v>8</v>
      </c>
      <c r="G56">
        <v>9</v>
      </c>
    </row>
    <row r="57" spans="1:49" x14ac:dyDescent="0.35">
      <c r="A57" t="str">
        <v>Mark Twain</v>
      </c>
      <c r="B57" t="str">
        <f>books!B57</f>
        <v>Mark Twain</v>
      </c>
      <c r="C57">
        <v>9</v>
      </c>
      <c r="D57">
        <v>9</v>
      </c>
      <c r="E57">
        <v>9</v>
      </c>
    </row>
    <row r="58" spans="1:49" x14ac:dyDescent="0.35">
      <c r="A58" t="str">
        <v>Kenneth Grahame</v>
      </c>
      <c r="B58" t="str">
        <f>books!B58</f>
        <v>Kenneth Grahame</v>
      </c>
      <c r="C58">
        <v>10</v>
      </c>
      <c r="D58">
        <v>9</v>
      </c>
    </row>
    <row r="59" spans="1:49" x14ac:dyDescent="0.35">
      <c r="A59" t="str">
        <v>Allan Eckert</v>
      </c>
      <c r="B59" t="str">
        <f>books!B59</f>
        <v>Allan Eckert</v>
      </c>
      <c r="C59">
        <v>7</v>
      </c>
    </row>
    <row r="60" spans="1:49" x14ac:dyDescent="0.35">
      <c r="A60" t="str">
        <v>Jacqueline Kelly</v>
      </c>
      <c r="B60" t="str">
        <f>books!B60</f>
        <v>Jacqueline Kelly</v>
      </c>
      <c r="C60">
        <v>9</v>
      </c>
    </row>
    <row r="61" spans="1:49" x14ac:dyDescent="0.35">
      <c r="A61" t="str">
        <v>Julie Andrews</v>
      </c>
      <c r="B61" t="str">
        <f>books!B61</f>
        <v>Julie Andrews</v>
      </c>
      <c r="C61">
        <v>10</v>
      </c>
    </row>
    <row r="62" spans="1:49" x14ac:dyDescent="0.35">
      <c r="A62" t="str">
        <v>Katherine Paterson</v>
      </c>
      <c r="B62" t="str">
        <f>books!B62</f>
        <v>Katherine Paterson</v>
      </c>
      <c r="C62">
        <v>9</v>
      </c>
    </row>
    <row r="63" spans="1:49" x14ac:dyDescent="0.35">
      <c r="A63" t="str">
        <v>Ted Bell</v>
      </c>
      <c r="B63" t="str">
        <f>books!B63</f>
        <v>Ted Bell</v>
      </c>
      <c r="C63">
        <v>9</v>
      </c>
      <c r="D63">
        <v>8</v>
      </c>
    </row>
    <row r="64" spans="1:49" x14ac:dyDescent="0.35">
      <c r="A64" t="str">
        <v>Lynne Banks</v>
      </c>
      <c r="B64" t="str">
        <f>books!B64</f>
        <v>Lynne Banks</v>
      </c>
      <c r="C64">
        <v>10</v>
      </c>
      <c r="D64">
        <v>9</v>
      </c>
      <c r="E64">
        <v>9</v>
      </c>
      <c r="F64">
        <v>9</v>
      </c>
      <c r="G64">
        <v>9</v>
      </c>
    </row>
    <row r="65" spans="1:16" x14ac:dyDescent="0.35">
      <c r="A65" t="str">
        <v>G. Lippert</v>
      </c>
      <c r="B65" t="str">
        <f>books!B65</f>
        <v>G. Lippert</v>
      </c>
      <c r="C65">
        <v>9</v>
      </c>
      <c r="D65">
        <v>8</v>
      </c>
      <c r="E65">
        <v>7</v>
      </c>
    </row>
    <row r="66" spans="1:16" x14ac:dyDescent="0.35">
      <c r="A66" t="str">
        <v>Johannes von Saaz</v>
      </c>
      <c r="B66" t="str">
        <f>books!B66</f>
        <v>Johannes von Saaz</v>
      </c>
      <c r="C66">
        <v>6</v>
      </c>
    </row>
    <row r="67" spans="1:16" x14ac:dyDescent="0.35">
      <c r="A67" t="str">
        <v>Hartmann von Aue</v>
      </c>
      <c r="B67" t="str">
        <f>books!B67</f>
        <v>Hartmann von Aue</v>
      </c>
      <c r="C67">
        <v>6</v>
      </c>
    </row>
    <row r="68" spans="1:16" x14ac:dyDescent="0.35">
      <c r="A68" t="str">
        <v>Charles Dickens</v>
      </c>
      <c r="B68" t="str">
        <f>books!B68</f>
        <v>Charles Dickens</v>
      </c>
      <c r="C68">
        <v>7</v>
      </c>
      <c r="D68">
        <v>8</v>
      </c>
      <c r="E68">
        <v>7</v>
      </c>
      <c r="F68">
        <v>7</v>
      </c>
    </row>
    <row r="69" spans="1:16" x14ac:dyDescent="0.35">
      <c r="A69" t="str">
        <v>Richard Connell</v>
      </c>
      <c r="B69" t="str">
        <f>books!B69</f>
        <v>Richard Connell</v>
      </c>
      <c r="C69">
        <v>9</v>
      </c>
    </row>
    <row r="70" spans="1:16" x14ac:dyDescent="0.35">
      <c r="A70" t="str">
        <v>Robert Jeffress</v>
      </c>
      <c r="B70" t="str">
        <f>books!B70</f>
        <v>Robert Jeffress</v>
      </c>
      <c r="C70">
        <v>8</v>
      </c>
    </row>
    <row r="71" spans="1:16" x14ac:dyDescent="0.35">
      <c r="A71" t="str">
        <v>Tristan Gooley</v>
      </c>
      <c r="B71" t="str">
        <f>books!B71</f>
        <v>Tristan Gooley</v>
      </c>
      <c r="C71">
        <v>8</v>
      </c>
    </row>
    <row r="72" spans="1:16" x14ac:dyDescent="0.35">
      <c r="A72" t="str">
        <v>Sid Fleischman</v>
      </c>
      <c r="B72" t="str">
        <f>books!B72</f>
        <v>Sid Fleischman</v>
      </c>
      <c r="C72">
        <v>8</v>
      </c>
    </row>
    <row r="73" spans="1:16" x14ac:dyDescent="0.35">
      <c r="A73" t="str">
        <v>Kevin Brooks</v>
      </c>
      <c r="B73" t="str">
        <f>books!B73</f>
        <v>Kevin Brooks</v>
      </c>
      <c r="C73">
        <v>7</v>
      </c>
    </row>
    <row r="74" spans="1:16" x14ac:dyDescent="0.35">
      <c r="A74" t="str">
        <v>Lissa Price</v>
      </c>
      <c r="B74" t="str">
        <f>books!B74</f>
        <v>Lissa Price</v>
      </c>
      <c r="C74">
        <v>5</v>
      </c>
      <c r="D74">
        <v>5</v>
      </c>
    </row>
    <row r="75" spans="1:16" x14ac:dyDescent="0.35">
      <c r="A75" t="str">
        <v>Nancy Farmer</v>
      </c>
      <c r="B75" t="str">
        <f>books!B75</f>
        <v>Nancy Farmer</v>
      </c>
      <c r="C75">
        <v>10</v>
      </c>
      <c r="D75">
        <v>8</v>
      </c>
      <c r="E75">
        <v>10</v>
      </c>
      <c r="F75">
        <v>9</v>
      </c>
      <c r="G75">
        <v>9</v>
      </c>
    </row>
    <row r="76" spans="1:16" x14ac:dyDescent="0.35">
      <c r="A76" t="str">
        <v>Frank Baum</v>
      </c>
      <c r="B76" t="str">
        <f>books!B76</f>
        <v>Frank Baum</v>
      </c>
      <c r="C76">
        <v>9</v>
      </c>
      <c r="D76">
        <v>9</v>
      </c>
      <c r="E76">
        <v>9</v>
      </c>
      <c r="F76">
        <v>9</v>
      </c>
      <c r="G76">
        <v>9</v>
      </c>
      <c r="H76">
        <v>9</v>
      </c>
      <c r="I76">
        <v>9</v>
      </c>
      <c r="J76">
        <v>9</v>
      </c>
      <c r="K76">
        <v>9</v>
      </c>
      <c r="L76">
        <v>9</v>
      </c>
      <c r="M76">
        <v>9</v>
      </c>
      <c r="N76">
        <v>9</v>
      </c>
      <c r="O76">
        <v>9</v>
      </c>
      <c r="P76">
        <v>9</v>
      </c>
    </row>
    <row r="77" spans="1:16" x14ac:dyDescent="0.35">
      <c r="A77" t="str">
        <v>H.G. Wells</v>
      </c>
      <c r="B77" t="str">
        <f>books!B77</f>
        <v>H.G. Wells</v>
      </c>
      <c r="C77">
        <v>9</v>
      </c>
      <c r="D77">
        <v>9</v>
      </c>
    </row>
    <row r="78" spans="1:16" x14ac:dyDescent="0.35">
      <c r="A78" t="str">
        <v>John Christopher</v>
      </c>
      <c r="B78" t="str">
        <f>books!B78</f>
        <v>John Christopher</v>
      </c>
      <c r="C78">
        <v>9</v>
      </c>
      <c r="D78">
        <v>9</v>
      </c>
      <c r="E78">
        <v>9</v>
      </c>
      <c r="F78">
        <v>9</v>
      </c>
    </row>
    <row r="79" spans="1:16" x14ac:dyDescent="0.35">
      <c r="A79" t="str">
        <v>Gerald Morris</v>
      </c>
      <c r="B79" t="str">
        <f>books!B79</f>
        <v>Gerald Morris</v>
      </c>
      <c r="C79">
        <v>9</v>
      </c>
      <c r="D79">
        <v>9</v>
      </c>
      <c r="E79">
        <v>9</v>
      </c>
      <c r="F79">
        <v>9</v>
      </c>
      <c r="G79">
        <v>9</v>
      </c>
      <c r="H79">
        <v>9</v>
      </c>
      <c r="I79">
        <v>9</v>
      </c>
      <c r="J79">
        <v>9</v>
      </c>
      <c r="K79">
        <v>9</v>
      </c>
      <c r="L79">
        <v>9</v>
      </c>
    </row>
    <row r="80" spans="1:16" x14ac:dyDescent="0.35">
      <c r="A80" t="str">
        <v>Phillip Pullman</v>
      </c>
      <c r="B80" t="str">
        <f>books!B80</f>
        <v>Phillip Pullman</v>
      </c>
      <c r="C80">
        <v>9</v>
      </c>
      <c r="D80">
        <v>9</v>
      </c>
      <c r="E80">
        <v>9</v>
      </c>
    </row>
    <row r="81" spans="1:15" x14ac:dyDescent="0.35">
      <c r="A81" t="str">
        <v>Diane Duane</v>
      </c>
      <c r="B81" t="str">
        <f>books!B81</f>
        <v>Diane Duane</v>
      </c>
      <c r="C81">
        <v>9</v>
      </c>
      <c r="D81">
        <v>8</v>
      </c>
    </row>
    <row r="82" spans="1:15" x14ac:dyDescent="0.35">
      <c r="A82" t="str">
        <v>Wilson Rawls</v>
      </c>
      <c r="B82" t="str">
        <f>books!B82</f>
        <v>Wilson Rawls</v>
      </c>
      <c r="C82">
        <v>10</v>
      </c>
    </row>
    <row r="83" spans="1:15" x14ac:dyDescent="0.35">
      <c r="A83" t="str">
        <v>Lois Lamour</v>
      </c>
      <c r="B83" t="str">
        <f>books!B83</f>
        <v>Lois Lamour</v>
      </c>
      <c r="C83">
        <v>9</v>
      </c>
      <c r="D83">
        <v>9</v>
      </c>
    </row>
    <row r="84" spans="1:15" x14ac:dyDescent="0.35">
      <c r="A84" t="str">
        <v>Franklin Dixon</v>
      </c>
      <c r="B84" t="str">
        <f>books!B84</f>
        <v>Franklin Dixon</v>
      </c>
      <c r="C84">
        <v>7</v>
      </c>
      <c r="D84">
        <v>7</v>
      </c>
      <c r="E84">
        <v>4</v>
      </c>
      <c r="F84">
        <v>7</v>
      </c>
    </row>
    <row r="85" spans="1:15" x14ac:dyDescent="0.35">
      <c r="A85" t="str">
        <v>Clare Vanderpool</v>
      </c>
      <c r="B85" t="str">
        <f>books!B85</f>
        <v>Clare Vanderpool</v>
      </c>
      <c r="C85">
        <v>8</v>
      </c>
    </row>
    <row r="86" spans="1:15" x14ac:dyDescent="0.35">
      <c r="A86" t="str">
        <v>Tracy Porter</v>
      </c>
      <c r="B86" t="str">
        <f>books!B86</f>
        <v>Tracy Porter</v>
      </c>
      <c r="C86">
        <v>7</v>
      </c>
    </row>
    <row r="87" spans="1:15" x14ac:dyDescent="0.35">
      <c r="A87" t="str">
        <v>Brandon Mull</v>
      </c>
      <c r="B87" t="str">
        <f>books!B87</f>
        <v>Brandon Mull</v>
      </c>
      <c r="C87">
        <v>8</v>
      </c>
      <c r="D87">
        <v>7</v>
      </c>
      <c r="E87">
        <v>9</v>
      </c>
      <c r="F87">
        <v>9</v>
      </c>
      <c r="G87">
        <v>9</v>
      </c>
      <c r="H87">
        <v>9</v>
      </c>
      <c r="I87">
        <v>9</v>
      </c>
      <c r="J87">
        <v>9</v>
      </c>
    </row>
    <row r="88" spans="1:15" x14ac:dyDescent="0.35">
      <c r="A88" t="str">
        <v>Gabrielle Zevin</v>
      </c>
      <c r="B88" t="str">
        <f>books!B88</f>
        <v>Gabrielle Zevin</v>
      </c>
      <c r="C88">
        <v>10</v>
      </c>
    </row>
    <row r="89" spans="1:15" x14ac:dyDescent="0.35">
      <c r="A89" t="str">
        <v>Neal Shusterman</v>
      </c>
      <c r="B89" t="str">
        <f>books!B89</f>
        <v>Neal Shusterman</v>
      </c>
      <c r="C89">
        <v>10</v>
      </c>
      <c r="D89">
        <v>8</v>
      </c>
      <c r="E89">
        <v>10</v>
      </c>
      <c r="F89">
        <v>9</v>
      </c>
      <c r="G89">
        <v>9</v>
      </c>
    </row>
    <row r="90" spans="1:15" x14ac:dyDescent="0.35">
      <c r="A90" t="str">
        <v>Charlie Higson</v>
      </c>
      <c r="B90" t="str">
        <f>books!B90</f>
        <v>Charlie Higson</v>
      </c>
      <c r="C90">
        <v>9</v>
      </c>
      <c r="D90">
        <v>9</v>
      </c>
      <c r="E90">
        <v>9</v>
      </c>
      <c r="F90">
        <v>8</v>
      </c>
      <c r="G90">
        <v>8</v>
      </c>
    </row>
    <row r="91" spans="1:15" x14ac:dyDescent="0.35">
      <c r="A91" t="str">
        <v>Lemony Snicket</v>
      </c>
      <c r="B91" t="str">
        <f>books!B91</f>
        <v>Lemony Snicket</v>
      </c>
      <c r="C91">
        <v>9</v>
      </c>
      <c r="D91">
        <v>9</v>
      </c>
      <c r="E91">
        <v>9</v>
      </c>
      <c r="F91">
        <v>9</v>
      </c>
      <c r="G91">
        <v>9</v>
      </c>
      <c r="H91">
        <v>9</v>
      </c>
      <c r="I91">
        <v>9</v>
      </c>
      <c r="J91">
        <v>9</v>
      </c>
      <c r="K91">
        <v>9</v>
      </c>
      <c r="L91">
        <v>9</v>
      </c>
      <c r="M91">
        <v>9</v>
      </c>
      <c r="N91">
        <v>9</v>
      </c>
      <c r="O91">
        <v>9</v>
      </c>
    </row>
    <row r="92" spans="1:15" x14ac:dyDescent="0.35">
      <c r="A92" t="str">
        <v>Pseydonymous Bosch</v>
      </c>
      <c r="B92" t="str">
        <f>books!B92</f>
        <v>Pseydonymous Bosch</v>
      </c>
      <c r="C92">
        <v>9</v>
      </c>
      <c r="D92">
        <v>9</v>
      </c>
      <c r="E92">
        <v>9</v>
      </c>
      <c r="F92">
        <v>9</v>
      </c>
    </row>
    <row r="93" spans="1:15" x14ac:dyDescent="0.35">
      <c r="A93" t="str">
        <v>Michael Chrichton</v>
      </c>
      <c r="B93" t="str">
        <f>books!B93</f>
        <v>Michael Chrichton</v>
      </c>
      <c r="C93">
        <v>7</v>
      </c>
    </row>
    <row r="94" spans="1:15" x14ac:dyDescent="0.35">
      <c r="A94" t="str">
        <v>Naomi Klein</v>
      </c>
      <c r="B94" t="str">
        <f>books!B94</f>
        <v>Naomi Klein</v>
      </c>
      <c r="C94">
        <v>2</v>
      </c>
    </row>
    <row r="95" spans="1:15" x14ac:dyDescent="0.35">
      <c r="A95" t="str">
        <v>Ta-Nehisi Coates</v>
      </c>
      <c r="B95" t="str">
        <f>books!B95</f>
        <v>Ta-Nehisi Coates</v>
      </c>
      <c r="C95">
        <v>9</v>
      </c>
      <c r="D95">
        <v>9</v>
      </c>
    </row>
    <row r="96" spans="1:15" x14ac:dyDescent="0.35">
      <c r="A96" t="str">
        <v>Mosab Yousef</v>
      </c>
      <c r="B96" t="str">
        <f>books!B96</f>
        <v>Mosab Yousef</v>
      </c>
      <c r="C96">
        <v>10</v>
      </c>
    </row>
    <row r="97" spans="1:21" x14ac:dyDescent="0.35">
      <c r="A97" t="str">
        <v>S.E. Hinton</v>
      </c>
      <c r="B97" t="str">
        <f>books!B97</f>
        <v>S.E. Hinton</v>
      </c>
      <c r="C97">
        <v>10</v>
      </c>
      <c r="D97">
        <v>10</v>
      </c>
      <c r="E97">
        <v>10</v>
      </c>
    </row>
    <row r="98" spans="1:21" x14ac:dyDescent="0.35">
      <c r="A98" t="str">
        <v>Lois Sachar</v>
      </c>
      <c r="B98" t="str">
        <f>books!B98</f>
        <v>Lois Sachar</v>
      </c>
      <c r="C98">
        <v>8</v>
      </c>
      <c r="D98">
        <v>8</v>
      </c>
      <c r="E98">
        <v>8</v>
      </c>
    </row>
    <row r="99" spans="1:21" x14ac:dyDescent="0.35">
      <c r="A99" t="str">
        <v>Beverly Cleary</v>
      </c>
      <c r="B99" t="str">
        <f>books!B99</f>
        <v>Beverly Cleary</v>
      </c>
      <c r="C99">
        <v>10</v>
      </c>
      <c r="D99">
        <v>9</v>
      </c>
      <c r="E99">
        <v>9</v>
      </c>
      <c r="F99">
        <v>8</v>
      </c>
      <c r="G99">
        <v>8</v>
      </c>
      <c r="H99">
        <v>9</v>
      </c>
      <c r="I99">
        <v>9</v>
      </c>
      <c r="J99">
        <v>9</v>
      </c>
      <c r="K99">
        <v>9</v>
      </c>
      <c r="L99">
        <v>9</v>
      </c>
      <c r="M99">
        <v>9</v>
      </c>
    </row>
    <row r="100" spans="1:21" x14ac:dyDescent="0.35">
      <c r="A100" t="str">
        <v>Hans Christian Andersen</v>
      </c>
      <c r="B100" t="str">
        <f>books!B100</f>
        <v>Hans Christian Andersen</v>
      </c>
      <c r="C100">
        <v>10</v>
      </c>
    </row>
    <row r="101" spans="1:21" x14ac:dyDescent="0.35">
      <c r="A101" t="str">
        <v>George Selden</v>
      </c>
      <c r="B101" t="str">
        <f>books!B101</f>
        <v>George Selden</v>
      </c>
      <c r="C101">
        <v>10</v>
      </c>
      <c r="D101">
        <v>9</v>
      </c>
    </row>
    <row r="102" spans="1:21" x14ac:dyDescent="0.35">
      <c r="A102" t="str">
        <v>Susan Bartoletti</v>
      </c>
      <c r="B102" t="str">
        <f>books!B102</f>
        <v>Susan Bartoletti</v>
      </c>
      <c r="C102">
        <v>7</v>
      </c>
      <c r="D102">
        <v>7</v>
      </c>
    </row>
    <row r="103" spans="1:21" x14ac:dyDescent="0.35">
      <c r="A103" t="str">
        <v>Richard Bach</v>
      </c>
      <c r="B103" t="str">
        <f>books!B103</f>
        <v>Richard Bach</v>
      </c>
      <c r="C103">
        <v>9</v>
      </c>
    </row>
    <row r="104" spans="1:21" x14ac:dyDescent="0.35">
      <c r="A104" t="str">
        <v>Chauser</v>
      </c>
      <c r="B104" t="str">
        <f>books!B104</f>
        <v>Chauser</v>
      </c>
      <c r="C104">
        <v>9</v>
      </c>
    </row>
    <row r="105" spans="1:21" x14ac:dyDescent="0.35">
      <c r="A105" t="str">
        <v>Ann Petty</v>
      </c>
      <c r="B105" t="str">
        <f>books!B105</f>
        <v>Ann Petty</v>
      </c>
      <c r="C105">
        <v>7</v>
      </c>
    </row>
    <row r="106" spans="1:21" x14ac:dyDescent="0.35">
      <c r="A106" t="str">
        <v>Kimberly Little</v>
      </c>
      <c r="B106" t="str">
        <f>books!B106</f>
        <v>Kimberly Little</v>
      </c>
      <c r="C106">
        <v>8</v>
      </c>
    </row>
    <row r="107" spans="1:21" x14ac:dyDescent="0.35">
      <c r="A107" t="str">
        <v>Washington Ivring</v>
      </c>
      <c r="B107" t="e">
        <f>books!#REF!</f>
        <v>#REF!</v>
      </c>
      <c r="C107">
        <v>8</v>
      </c>
    </row>
    <row r="108" spans="1:21" x14ac:dyDescent="0.35">
      <c r="A108" t="str">
        <v>Eva Ibbotson</v>
      </c>
      <c r="B108" t="str">
        <f>books!B107</f>
        <v>Washington Ivring</v>
      </c>
      <c r="C108">
        <v>10</v>
      </c>
      <c r="D108">
        <v>9</v>
      </c>
      <c r="E108">
        <v>9</v>
      </c>
      <c r="F108">
        <v>8</v>
      </c>
    </row>
    <row r="109" spans="1:21" x14ac:dyDescent="0.35">
      <c r="A109" t="str">
        <v xml:space="preserve">Kathryn Lasky </v>
      </c>
      <c r="B109" t="str">
        <f>books!B108</f>
        <v>Eva Ibbotson</v>
      </c>
      <c r="C109">
        <v>9</v>
      </c>
      <c r="D109">
        <v>9</v>
      </c>
      <c r="E109">
        <v>9</v>
      </c>
      <c r="F109">
        <v>9</v>
      </c>
      <c r="G109">
        <v>9</v>
      </c>
      <c r="H109">
        <v>9</v>
      </c>
      <c r="I109">
        <v>9</v>
      </c>
      <c r="J109">
        <v>9</v>
      </c>
      <c r="K109">
        <v>9</v>
      </c>
      <c r="L109">
        <v>9</v>
      </c>
      <c r="M109">
        <v>9</v>
      </c>
      <c r="N109">
        <v>9</v>
      </c>
      <c r="O109">
        <v>9</v>
      </c>
      <c r="P109">
        <v>9</v>
      </c>
      <c r="Q109">
        <v>9</v>
      </c>
      <c r="R109">
        <v>8</v>
      </c>
      <c r="S109">
        <v>8</v>
      </c>
      <c r="T109">
        <v>8</v>
      </c>
      <c r="U109">
        <v>8</v>
      </c>
    </row>
    <row r="110" spans="1:21" x14ac:dyDescent="0.35">
      <c r="A110" t="str">
        <v>Janai Lowenstein</v>
      </c>
      <c r="B110" t="str">
        <f>books!B109</f>
        <v xml:space="preserve">Kathryn Lasky </v>
      </c>
      <c r="C110">
        <v>9</v>
      </c>
    </row>
    <row r="111" spans="1:21" x14ac:dyDescent="0.35">
      <c r="A111" t="str">
        <v>Richard Adams</v>
      </c>
      <c r="B111" t="str">
        <f>books!B110</f>
        <v>Janai Lowenstein</v>
      </c>
      <c r="C111">
        <v>9</v>
      </c>
    </row>
    <row r="112" spans="1:21" x14ac:dyDescent="0.35">
      <c r="A112" t="str">
        <v>Maria Trapp</v>
      </c>
      <c r="B112" t="str">
        <f>books!B111</f>
        <v>Richard Adams</v>
      </c>
      <c r="C112">
        <v>8</v>
      </c>
    </row>
    <row r="113" spans="1:18" x14ac:dyDescent="0.35">
      <c r="A113" t="str">
        <v>Patrick Carman</v>
      </c>
      <c r="B113" t="str">
        <f>books!B112</f>
        <v>Maria Trapp</v>
      </c>
      <c r="C113">
        <v>10</v>
      </c>
      <c r="D113">
        <v>9</v>
      </c>
      <c r="E113">
        <v>9</v>
      </c>
      <c r="F113">
        <v>8</v>
      </c>
      <c r="G113">
        <v>8</v>
      </c>
      <c r="H113">
        <v>8</v>
      </c>
      <c r="I113">
        <v>9</v>
      </c>
      <c r="J113">
        <v>8</v>
      </c>
    </row>
    <row r="114" spans="1:18" x14ac:dyDescent="0.35">
      <c r="A114" t="str">
        <v>John Flanagan</v>
      </c>
      <c r="B114" t="str">
        <f>books!B113</f>
        <v>Patrick Carman</v>
      </c>
      <c r="C114">
        <v>10</v>
      </c>
      <c r="D114">
        <v>10</v>
      </c>
      <c r="E114">
        <v>10</v>
      </c>
      <c r="F114">
        <v>10</v>
      </c>
      <c r="G114">
        <v>10</v>
      </c>
      <c r="H114">
        <v>10</v>
      </c>
      <c r="I114">
        <v>10</v>
      </c>
      <c r="J114">
        <v>10</v>
      </c>
      <c r="K114">
        <v>10</v>
      </c>
      <c r="L114">
        <v>10</v>
      </c>
      <c r="M114">
        <v>10</v>
      </c>
      <c r="N114">
        <v>10</v>
      </c>
      <c r="O114">
        <v>9</v>
      </c>
      <c r="P114">
        <v>9</v>
      </c>
      <c r="Q114">
        <v>9</v>
      </c>
      <c r="R114">
        <v>9</v>
      </c>
    </row>
    <row r="115" spans="1:18" x14ac:dyDescent="0.35">
      <c r="A115" t="str">
        <v>Eoin Colfer</v>
      </c>
      <c r="B115" t="str">
        <f>books!B114</f>
        <v>John Flanagan</v>
      </c>
      <c r="C115">
        <v>10</v>
      </c>
      <c r="D115">
        <v>10</v>
      </c>
      <c r="E115">
        <v>10</v>
      </c>
      <c r="F115">
        <v>10</v>
      </c>
      <c r="G115">
        <v>9</v>
      </c>
      <c r="H115">
        <v>9</v>
      </c>
      <c r="I115">
        <v>10</v>
      </c>
      <c r="J115">
        <v>9</v>
      </c>
      <c r="K115">
        <v>9</v>
      </c>
    </row>
    <row r="116" spans="1:18" x14ac:dyDescent="0.35">
      <c r="A116" t="str">
        <v>Catherine Fisher</v>
      </c>
      <c r="B116" t="str">
        <f>books!B115</f>
        <v>Eoin Colfer</v>
      </c>
      <c r="C116">
        <v>10</v>
      </c>
      <c r="D116">
        <v>8</v>
      </c>
      <c r="E116">
        <v>7</v>
      </c>
    </row>
    <row r="117" spans="1:18" x14ac:dyDescent="0.35">
      <c r="A117" t="str">
        <v>Elizabeth Kay</v>
      </c>
      <c r="B117" t="str">
        <f>books!B116</f>
        <v>Catherine Fisher</v>
      </c>
      <c r="C117">
        <v>10</v>
      </c>
      <c r="D117">
        <v>9</v>
      </c>
      <c r="E117">
        <v>8</v>
      </c>
    </row>
    <row r="118" spans="1:18" x14ac:dyDescent="0.35">
      <c r="A118" t="str">
        <v>Carole Wilkinson</v>
      </c>
      <c r="B118" t="str">
        <f>books!B117</f>
        <v>Elizabeth Kay</v>
      </c>
      <c r="C118">
        <v>10</v>
      </c>
    </row>
    <row r="119" spans="1:18" x14ac:dyDescent="0.35">
      <c r="A119" t="str">
        <v>Scott Westerfeld</v>
      </c>
      <c r="B119" t="str">
        <f>books!B118</f>
        <v>Carole Wilkinson</v>
      </c>
      <c r="C119">
        <v>7</v>
      </c>
      <c r="D119">
        <v>6</v>
      </c>
      <c r="E119">
        <v>6</v>
      </c>
    </row>
    <row r="120" spans="1:18" x14ac:dyDescent="0.35">
      <c r="A120" t="str">
        <v>Orson Scott Card</v>
      </c>
      <c r="B120" t="str">
        <f>books!B119</f>
        <v>Scott Westerfeld</v>
      </c>
      <c r="C120">
        <v>10</v>
      </c>
      <c r="D120">
        <v>10</v>
      </c>
      <c r="E120">
        <v>10</v>
      </c>
      <c r="F120">
        <v>10</v>
      </c>
      <c r="G120">
        <v>10</v>
      </c>
      <c r="H120">
        <v>10</v>
      </c>
      <c r="I120">
        <v>8</v>
      </c>
      <c r="J120">
        <v>9</v>
      </c>
      <c r="K120">
        <v>8</v>
      </c>
      <c r="L120">
        <v>10</v>
      </c>
      <c r="M120">
        <v>9</v>
      </c>
    </row>
    <row r="121" spans="1:18" x14ac:dyDescent="0.35">
      <c r="A121" t="str">
        <v>Jeanne DuPrau</v>
      </c>
      <c r="B121" t="str">
        <f>books!B120</f>
        <v>Orson Scott Card</v>
      </c>
      <c r="C121">
        <v>9</v>
      </c>
      <c r="D121">
        <v>8</v>
      </c>
      <c r="E121">
        <v>9</v>
      </c>
      <c r="F121">
        <v>9</v>
      </c>
    </row>
    <row r="122" spans="1:18" x14ac:dyDescent="0.35">
      <c r="A122" t="str">
        <v>Harper Lee</v>
      </c>
      <c r="B122" t="str">
        <f>books!B121</f>
        <v>Jeanne DuPrau</v>
      </c>
      <c r="C122">
        <v>9</v>
      </c>
    </row>
    <row r="123" spans="1:18" x14ac:dyDescent="0.35">
      <c r="A123" t="str">
        <v>Michael Scott</v>
      </c>
      <c r="B123" t="str">
        <f>books!B122</f>
        <v>Harper Lee</v>
      </c>
      <c r="C123">
        <v>10</v>
      </c>
      <c r="D123">
        <v>9</v>
      </c>
      <c r="E123">
        <v>9</v>
      </c>
      <c r="F123">
        <v>9</v>
      </c>
      <c r="G123">
        <v>9</v>
      </c>
      <c r="H123">
        <v>10</v>
      </c>
    </row>
    <row r="124" spans="1:18" x14ac:dyDescent="0.35">
      <c r="A124" t="str">
        <v>Lucy Montgomery</v>
      </c>
      <c r="B124" t="str">
        <f>books!B123</f>
        <v>Michael Scott</v>
      </c>
      <c r="C124">
        <v>10</v>
      </c>
      <c r="D124">
        <v>9</v>
      </c>
      <c r="E124">
        <v>9</v>
      </c>
      <c r="F124">
        <v>9</v>
      </c>
      <c r="G124">
        <v>9</v>
      </c>
      <c r="H124">
        <v>9</v>
      </c>
      <c r="I124">
        <v>9</v>
      </c>
      <c r="J124">
        <v>9</v>
      </c>
    </row>
    <row r="125" spans="1:18" x14ac:dyDescent="0.35">
      <c r="A125" t="str">
        <v>Bruce Coville</v>
      </c>
      <c r="B125" t="str">
        <f>books!B124</f>
        <v>Lucy Montgomery</v>
      </c>
      <c r="C125">
        <v>10</v>
      </c>
      <c r="D125">
        <v>10</v>
      </c>
      <c r="E125">
        <v>9</v>
      </c>
      <c r="F125">
        <v>9</v>
      </c>
    </row>
    <row r="126" spans="1:18" x14ac:dyDescent="0.35">
      <c r="A126" t="str">
        <v>Robert Stevenson</v>
      </c>
      <c r="B126" t="str">
        <f>books!B125</f>
        <v>Bruce Coville</v>
      </c>
      <c r="C126">
        <v>8</v>
      </c>
    </row>
    <row r="127" spans="1:18" x14ac:dyDescent="0.35">
      <c r="A127" t="str">
        <v>Conor Kostick</v>
      </c>
      <c r="B127" t="str">
        <f>books!B126</f>
        <v>Robert Stevenson</v>
      </c>
      <c r="C127">
        <v>9</v>
      </c>
      <c r="D127">
        <v>8</v>
      </c>
    </row>
    <row r="128" spans="1:18" x14ac:dyDescent="0.35">
      <c r="A128" t="str">
        <v>Edward Eager</v>
      </c>
      <c r="B128" t="str">
        <f>books!B127</f>
        <v>Conor Kostick</v>
      </c>
      <c r="C128">
        <v>10</v>
      </c>
      <c r="D128">
        <v>10</v>
      </c>
      <c r="E128">
        <v>9</v>
      </c>
    </row>
    <row r="129" spans="1:14" x14ac:dyDescent="0.35">
      <c r="A129" t="str">
        <v>Michael Grant</v>
      </c>
      <c r="B129" t="str">
        <f>books!B128</f>
        <v>Edward Eager</v>
      </c>
      <c r="C129">
        <v>9</v>
      </c>
      <c r="D129">
        <v>9</v>
      </c>
      <c r="E129">
        <v>9</v>
      </c>
      <c r="F129">
        <v>9</v>
      </c>
      <c r="G129">
        <v>9</v>
      </c>
      <c r="H129">
        <v>9</v>
      </c>
    </row>
    <row r="130" spans="1:14" x14ac:dyDescent="0.35">
      <c r="A130" t="str">
        <v>Jean George</v>
      </c>
      <c r="B130" t="str">
        <f>books!B129</f>
        <v>Michael Grant</v>
      </c>
      <c r="C130">
        <v>9</v>
      </c>
      <c r="D130">
        <v>9</v>
      </c>
      <c r="E130">
        <v>10</v>
      </c>
      <c r="F130">
        <v>9</v>
      </c>
      <c r="G130">
        <v>10</v>
      </c>
      <c r="H130">
        <v>9</v>
      </c>
      <c r="I130">
        <v>9</v>
      </c>
      <c r="J130">
        <v>9</v>
      </c>
      <c r="K130">
        <v>10</v>
      </c>
      <c r="L130">
        <v>10</v>
      </c>
      <c r="M130">
        <v>10</v>
      </c>
      <c r="N130">
        <v>10</v>
      </c>
    </row>
    <row r="131" spans="1:14" x14ac:dyDescent="0.35">
      <c r="A131" t="str">
        <v>Maia Wojciechowska</v>
      </c>
      <c r="B131" t="str">
        <f>books!B130</f>
        <v>Jean George</v>
      </c>
      <c r="C131">
        <v>7</v>
      </c>
    </row>
    <row r="132" spans="1:14" x14ac:dyDescent="0.35">
      <c r="A132" t="str">
        <v>Jules Verne</v>
      </c>
      <c r="B132" t="str">
        <f>books!B131</f>
        <v>Maia Wojciechowska</v>
      </c>
      <c r="C132">
        <v>7</v>
      </c>
      <c r="D132">
        <v>8</v>
      </c>
    </row>
    <row r="133" spans="1:14" x14ac:dyDescent="0.35">
      <c r="A133" t="str">
        <v>William Bligh</v>
      </c>
      <c r="B133" t="str">
        <f>books!B132</f>
        <v>Jules Verne</v>
      </c>
      <c r="C133">
        <v>7</v>
      </c>
    </row>
    <row r="134" spans="1:14" x14ac:dyDescent="0.35">
      <c r="A134" t="str">
        <v>Eisenberg</v>
      </c>
      <c r="B134" t="str">
        <f>books!B133</f>
        <v>William Bligh</v>
      </c>
      <c r="C134">
        <v>8</v>
      </c>
    </row>
    <row r="135" spans="1:14" x14ac:dyDescent="0.35">
      <c r="A135" t="str">
        <v>Edith Hamilton</v>
      </c>
      <c r="B135" t="str">
        <f>books!B134</f>
        <v>Eisenberg</v>
      </c>
      <c r="C135">
        <v>8</v>
      </c>
    </row>
    <row r="136" spans="1:14" x14ac:dyDescent="0.35">
      <c r="A136" t="str">
        <v>Tom Clancy</v>
      </c>
      <c r="B136" t="str">
        <f>books!B135</f>
        <v>Edith Hamilton</v>
      </c>
      <c r="C136">
        <v>9</v>
      </c>
    </row>
    <row r="137" spans="1:14" x14ac:dyDescent="0.35">
      <c r="A137" t="str">
        <v>Mark Walden</v>
      </c>
      <c r="B137" t="str">
        <f>books!B136</f>
        <v>Tom Clancy</v>
      </c>
      <c r="C137">
        <v>9</v>
      </c>
      <c r="D137">
        <v>9</v>
      </c>
      <c r="E137">
        <v>9</v>
      </c>
      <c r="F137">
        <v>9</v>
      </c>
      <c r="G137">
        <v>9</v>
      </c>
      <c r="H137">
        <v>9</v>
      </c>
      <c r="I137">
        <v>9</v>
      </c>
      <c r="J137">
        <v>9</v>
      </c>
    </row>
    <row r="138" spans="1:14" x14ac:dyDescent="0.35">
      <c r="A138" t="str">
        <v>Elizabeth Winthrop</v>
      </c>
      <c r="B138" t="str">
        <f>books!B137</f>
        <v>Mark Walden</v>
      </c>
      <c r="C138">
        <v>9</v>
      </c>
      <c r="D138">
        <v>8</v>
      </c>
    </row>
    <row r="139" spans="1:14" x14ac:dyDescent="0.35">
      <c r="A139" t="str">
        <v>Jane Conly</v>
      </c>
      <c r="B139" t="str">
        <f>books!B138</f>
        <v>Elizabeth Winthrop</v>
      </c>
      <c r="C139">
        <v>9</v>
      </c>
      <c r="D139">
        <v>9</v>
      </c>
    </row>
    <row r="140" spans="1:14" x14ac:dyDescent="0.35">
      <c r="A140" t="str">
        <v>Jack London</v>
      </c>
      <c r="B140" t="str">
        <f>books!B139</f>
        <v>Jane Conly</v>
      </c>
      <c r="C140">
        <v>9</v>
      </c>
      <c r="D140">
        <v>7</v>
      </c>
    </row>
    <row r="141" spans="1:14" x14ac:dyDescent="0.35">
      <c r="A141" t="str">
        <v>F. Scott Fitzgerald</v>
      </c>
      <c r="B141" t="str">
        <f>books!B140</f>
        <v>Jack London</v>
      </c>
      <c r="C141">
        <v>8</v>
      </c>
    </row>
    <row r="142" spans="1:14" x14ac:dyDescent="0.35">
      <c r="A142" t="str">
        <v>Lousia May Alcott</v>
      </c>
      <c r="B142" t="str">
        <f>books!B141</f>
        <v>F. Scott Fitzgerald</v>
      </c>
      <c r="C142">
        <v>10</v>
      </c>
      <c r="D142">
        <v>10</v>
      </c>
      <c r="E142">
        <v>10</v>
      </c>
    </row>
    <row r="143" spans="1:14" x14ac:dyDescent="0.35">
      <c r="A143" t="str">
        <v>Margaret Mitchell</v>
      </c>
      <c r="B143" t="str">
        <f>books!B142</f>
        <v>Lousia May Alcott</v>
      </c>
      <c r="C143">
        <v>9</v>
      </c>
    </row>
    <row r="144" spans="1:14" x14ac:dyDescent="0.35">
      <c r="A144" t="str">
        <v>Mildred Taylor</v>
      </c>
      <c r="B144" t="str">
        <f>books!B143</f>
        <v>Margaret Mitchell</v>
      </c>
      <c r="C144">
        <v>10</v>
      </c>
      <c r="D144">
        <v>10</v>
      </c>
      <c r="E144">
        <v>10</v>
      </c>
      <c r="F144">
        <v>10</v>
      </c>
      <c r="G144">
        <v>10</v>
      </c>
    </row>
    <row r="145" spans="1:10" x14ac:dyDescent="0.35">
      <c r="A145" t="str">
        <v>Sandra Cisneros</v>
      </c>
      <c r="B145" t="str">
        <f>books!B144</f>
        <v>Mildred Taylor</v>
      </c>
      <c r="C145">
        <v>9</v>
      </c>
    </row>
    <row r="146" spans="1:10" x14ac:dyDescent="0.35">
      <c r="A146" t="str">
        <v>James Cooper</v>
      </c>
      <c r="B146" t="str">
        <f>books!B145</f>
        <v>Sandra Cisneros</v>
      </c>
      <c r="C146">
        <v>7</v>
      </c>
    </row>
    <row r="147" spans="1:10" x14ac:dyDescent="0.35">
      <c r="A147" t="str">
        <v>Karen Hesse</v>
      </c>
      <c r="B147" t="str">
        <f>books!B146</f>
        <v>James Cooper</v>
      </c>
      <c r="C147">
        <v>5</v>
      </c>
    </row>
    <row r="148" spans="1:10" x14ac:dyDescent="0.35">
      <c r="A148" t="str">
        <v>Hugh Lofting</v>
      </c>
      <c r="B148" t="str">
        <f>books!B147</f>
        <v>Karen Hesse</v>
      </c>
      <c r="C148">
        <v>10</v>
      </c>
      <c r="D148">
        <v>9</v>
      </c>
      <c r="E148">
        <v>9</v>
      </c>
    </row>
    <row r="149" spans="1:10" x14ac:dyDescent="0.35">
      <c r="A149" t="str">
        <v>New Scientist</v>
      </c>
      <c r="B149" t="str">
        <f>books!B148</f>
        <v>Hugh Lofting</v>
      </c>
      <c r="C149">
        <v>8</v>
      </c>
      <c r="D149">
        <v>8</v>
      </c>
    </row>
    <row r="150" spans="1:10" x14ac:dyDescent="0.35">
      <c r="A150" t="str">
        <v>Padraic Colum</v>
      </c>
      <c r="B150" t="str">
        <f>books!B149</f>
        <v>New Scientist</v>
      </c>
      <c r="C150">
        <v>7</v>
      </c>
    </row>
    <row r="151" spans="1:10" x14ac:dyDescent="0.35">
      <c r="A151" t="str">
        <v>Dorothy Haas</v>
      </c>
      <c r="B151" t="str">
        <f>books!B150</f>
        <v>Padraic Colum</v>
      </c>
      <c r="C151">
        <v>9</v>
      </c>
    </row>
    <row r="152" spans="1:10" x14ac:dyDescent="0.35">
      <c r="A152" t="str">
        <v>Tony Hillerman</v>
      </c>
      <c r="B152" t="str">
        <f>books!B151</f>
        <v>Dorothy Haas</v>
      </c>
      <c r="C152">
        <v>10</v>
      </c>
    </row>
    <row r="153" spans="1:10" x14ac:dyDescent="0.35">
      <c r="A153" t="str">
        <v>Dick King-Smith</v>
      </c>
      <c r="B153" t="str">
        <f>books!B152</f>
        <v>Tony Hillerman</v>
      </c>
      <c r="C153">
        <v>9</v>
      </c>
      <c r="D153">
        <v>10</v>
      </c>
      <c r="E153">
        <v>9</v>
      </c>
      <c r="F153">
        <v>9</v>
      </c>
      <c r="G153">
        <v>10</v>
      </c>
      <c r="H153">
        <v>9</v>
      </c>
      <c r="I153">
        <v>9</v>
      </c>
      <c r="J153">
        <v>10</v>
      </c>
    </row>
    <row r="154" spans="1:10" x14ac:dyDescent="0.35">
      <c r="A154" t="str">
        <v>Bertrand Brinley</v>
      </c>
      <c r="B154" t="str">
        <f>books!B153</f>
        <v>Dick King-Smith</v>
      </c>
      <c r="C154">
        <v>10</v>
      </c>
    </row>
    <row r="155" spans="1:10" x14ac:dyDescent="0.35">
      <c r="A155" t="str">
        <v>Mary Dodge</v>
      </c>
      <c r="B155" t="str">
        <f>books!B154</f>
        <v>Bertrand Brinley</v>
      </c>
      <c r="C155">
        <v>8</v>
      </c>
    </row>
    <row r="156" spans="1:10" x14ac:dyDescent="0.35">
      <c r="A156" t="str">
        <v>Eve Curie</v>
      </c>
      <c r="B156" t="str">
        <f>books!B155</f>
        <v>Mary Dodge</v>
      </c>
      <c r="C156">
        <v>9</v>
      </c>
    </row>
    <row r="157" spans="1:10" x14ac:dyDescent="0.35">
      <c r="A157" t="str">
        <v>C.S. Forester</v>
      </c>
      <c r="B157" t="str">
        <f>books!B156</f>
        <v>Eve Curie</v>
      </c>
      <c r="C157">
        <v>6</v>
      </c>
    </row>
    <row r="158" spans="1:10" x14ac:dyDescent="0.35">
      <c r="A158" t="str">
        <v>Daniel Defoe</v>
      </c>
      <c r="B158" t="str">
        <f>books!B157</f>
        <v>C.S. Forester</v>
      </c>
      <c r="C158">
        <v>8</v>
      </c>
    </row>
    <row r="159" spans="1:10" x14ac:dyDescent="0.35">
      <c r="A159" t="str">
        <v>Rudyard Kipling</v>
      </c>
      <c r="B159" t="str">
        <f>books!B158</f>
        <v>Daniel Defoe</v>
      </c>
      <c r="C159">
        <v>9</v>
      </c>
      <c r="D159">
        <v>9</v>
      </c>
    </row>
    <row r="160" spans="1:10" x14ac:dyDescent="0.35">
      <c r="A160" t="str">
        <v>Helen Keller</v>
      </c>
      <c r="B160" t="str">
        <f>books!B159</f>
        <v>Rudyard Kipling</v>
      </c>
      <c r="C160">
        <v>9</v>
      </c>
    </row>
    <row r="161" spans="1:6" x14ac:dyDescent="0.35">
      <c r="A161" t="str">
        <v>Kate Thompson</v>
      </c>
      <c r="B161" t="str">
        <f>books!B160</f>
        <v>Helen Keller</v>
      </c>
      <c r="C161">
        <v>9</v>
      </c>
    </row>
    <row r="162" spans="1:6" x14ac:dyDescent="0.35">
      <c r="A162" t="str">
        <v>Milton Meltzer</v>
      </c>
      <c r="B162" t="str">
        <f>books!B161</f>
        <v>Kate Thompson</v>
      </c>
      <c r="C162">
        <v>7</v>
      </c>
    </row>
    <row r="163" spans="1:6" x14ac:dyDescent="0.35">
      <c r="A163" t="str">
        <v>Douglas Adams</v>
      </c>
      <c r="B163" t="str">
        <f>books!B162</f>
        <v>Milton Meltzer</v>
      </c>
      <c r="C163">
        <v>10</v>
      </c>
      <c r="D163">
        <v>9</v>
      </c>
      <c r="E163">
        <v>10</v>
      </c>
      <c r="F163">
        <v>10</v>
      </c>
    </row>
    <row r="164" spans="1:6" x14ac:dyDescent="0.35">
      <c r="A164" t="str">
        <v>Jonathon Swift</v>
      </c>
      <c r="B164" t="str">
        <f>books!B163</f>
        <v>Douglas Adams</v>
      </c>
      <c r="C164">
        <v>9</v>
      </c>
    </row>
    <row r="165" spans="1:6" x14ac:dyDescent="0.35">
      <c r="A165" t="str">
        <v>Jerry Spinelli</v>
      </c>
      <c r="B165" t="str">
        <f>books!B164</f>
        <v>Jonathon Swift</v>
      </c>
      <c r="C165">
        <v>9</v>
      </c>
      <c r="D165">
        <v>8</v>
      </c>
    </row>
    <row r="166" spans="1:6" x14ac:dyDescent="0.35">
      <c r="A166" t="str">
        <v>Scott O'Dell</v>
      </c>
      <c r="B166" t="str">
        <f>books!B165</f>
        <v>Jerry Spinelli</v>
      </c>
      <c r="C166">
        <v>8</v>
      </c>
    </row>
    <row r="167" spans="1:6" x14ac:dyDescent="0.35">
      <c r="A167" t="str">
        <v>Louis Sachar</v>
      </c>
      <c r="B167" t="str">
        <f>books!B166</f>
        <v>Scott O'Dell</v>
      </c>
      <c r="C167">
        <v>9</v>
      </c>
      <c r="D167">
        <v>9</v>
      </c>
    </row>
    <row r="168" spans="1:6" x14ac:dyDescent="0.35">
      <c r="A168" t="str">
        <v>Patricia Maclachlan</v>
      </c>
      <c r="B168" t="str">
        <f>books!B167</f>
        <v>Louis Sachar</v>
      </c>
      <c r="C168">
        <v>7</v>
      </c>
    </row>
    <row r="169" spans="1:6" x14ac:dyDescent="0.35">
      <c r="A169" t="str">
        <v>Elizabeth George</v>
      </c>
      <c r="B169" t="str">
        <f>books!B168</f>
        <v>Patricia Maclachlan</v>
      </c>
      <c r="C169">
        <v>10</v>
      </c>
    </row>
    <row r="170" spans="1:6" x14ac:dyDescent="0.35">
      <c r="A170" t="str">
        <v>Kate DiCamillo</v>
      </c>
      <c r="B170" t="str">
        <f>books!B169</f>
        <v>Elizabeth George</v>
      </c>
      <c r="C170">
        <v>9</v>
      </c>
      <c r="D170">
        <v>9</v>
      </c>
    </row>
    <row r="171" spans="1:6" x14ac:dyDescent="0.35">
      <c r="A171" t="str">
        <v>Polly Horvath</v>
      </c>
      <c r="B171" t="str">
        <f>books!B170</f>
        <v>Kate DiCamillo</v>
      </c>
      <c r="C171">
        <v>8</v>
      </c>
    </row>
    <row r="172" spans="1:6" x14ac:dyDescent="0.35">
      <c r="A172" t="str">
        <v>Stephanie S. Tolan</v>
      </c>
      <c r="B172" t="str">
        <f>books!B171</f>
        <v>Polly Horvath</v>
      </c>
      <c r="C172">
        <v>7</v>
      </c>
    </row>
    <row r="173" spans="1:6" x14ac:dyDescent="0.35">
      <c r="A173" t="str">
        <v>Sharon Creech</v>
      </c>
      <c r="B173" t="str">
        <f>books!B172</f>
        <v>Stephanie S. Tolan</v>
      </c>
      <c r="C173">
        <v>10</v>
      </c>
      <c r="D173">
        <v>9</v>
      </c>
      <c r="E173">
        <v>8</v>
      </c>
      <c r="F173">
        <v>8</v>
      </c>
    </row>
    <row r="174" spans="1:6" x14ac:dyDescent="0.35">
      <c r="A174" t="str">
        <v>Gail Levine</v>
      </c>
      <c r="B174" t="str">
        <f>books!B173</f>
        <v>Sharon Creech</v>
      </c>
      <c r="C174">
        <v>10</v>
      </c>
    </row>
    <row r="175" spans="1:6" x14ac:dyDescent="0.35">
      <c r="A175" t="str">
        <v>Eloise McGraw</v>
      </c>
      <c r="B175" t="str">
        <f>books!B174</f>
        <v>Gail Levine</v>
      </c>
      <c r="C175">
        <v>10</v>
      </c>
    </row>
    <row r="176" spans="1:6" x14ac:dyDescent="0.35">
      <c r="A176" t="str">
        <v>Elizabeth Speare</v>
      </c>
      <c r="B176" t="str">
        <f>books!B175</f>
        <v>Eloise McGraw</v>
      </c>
      <c r="C176">
        <v>7</v>
      </c>
    </row>
    <row r="177" spans="1:8" x14ac:dyDescent="0.35">
      <c r="A177" t="str">
        <v>Cynthia Voigt</v>
      </c>
      <c r="B177" t="str">
        <f>books!B176</f>
        <v>Elizabeth Speare</v>
      </c>
      <c r="C177">
        <v>9</v>
      </c>
      <c r="D177">
        <v>9</v>
      </c>
      <c r="E177">
        <v>10</v>
      </c>
      <c r="F177">
        <v>9</v>
      </c>
    </row>
    <row r="178" spans="1:8" x14ac:dyDescent="0.35">
      <c r="A178" t="str">
        <v>Betsy Byars</v>
      </c>
      <c r="B178" t="str">
        <f>books!B177</f>
        <v>Cynthia Voigt</v>
      </c>
      <c r="C178">
        <v>9</v>
      </c>
      <c r="D178">
        <v>9</v>
      </c>
    </row>
    <row r="179" spans="1:8" x14ac:dyDescent="0.35">
      <c r="A179" t="str">
        <v>Lloyd Alexander</v>
      </c>
      <c r="B179" t="str">
        <f>books!B178</f>
        <v>Betsy Byars</v>
      </c>
      <c r="C179">
        <v>9</v>
      </c>
      <c r="D179">
        <v>10</v>
      </c>
      <c r="E179">
        <v>10</v>
      </c>
      <c r="F179">
        <v>9</v>
      </c>
      <c r="G179">
        <v>9</v>
      </c>
      <c r="H179">
        <v>8</v>
      </c>
    </row>
    <row r="180" spans="1:8" x14ac:dyDescent="0.35">
      <c r="A180" t="str">
        <v>George Orwell</v>
      </c>
      <c r="B180" t="str">
        <f>books!B179</f>
        <v>Lloyd Alexander</v>
      </c>
      <c r="C180">
        <v>9</v>
      </c>
      <c r="D180">
        <v>8</v>
      </c>
    </row>
    <row r="181" spans="1:8" x14ac:dyDescent="0.35">
      <c r="A181" t="str">
        <v>Terry Pratchett</v>
      </c>
      <c r="B181" t="str">
        <f>books!B180</f>
        <v>George Orwell</v>
      </c>
      <c r="C181">
        <v>7</v>
      </c>
    </row>
    <row r="182" spans="1:8" x14ac:dyDescent="0.35">
      <c r="A182" t="str">
        <v>Natalie Savage</v>
      </c>
      <c r="B182" t="str">
        <f>books!B181</f>
        <v>Terry Pratchett</v>
      </c>
      <c r="C182">
        <v>9</v>
      </c>
    </row>
    <row r="183" spans="1:8" x14ac:dyDescent="0.35">
      <c r="A183" t="str">
        <v>Meindert DeJong</v>
      </c>
      <c r="B183" t="str">
        <f>books!B182</f>
        <v>Natalie Savage</v>
      </c>
      <c r="C183">
        <v>10</v>
      </c>
    </row>
    <row r="184" spans="1:8" x14ac:dyDescent="0.35">
      <c r="A184" t="str">
        <v>E.B. White</v>
      </c>
      <c r="B184" t="str">
        <f>books!B183</f>
        <v>Meindert DeJong</v>
      </c>
      <c r="C184">
        <v>10</v>
      </c>
      <c r="D184">
        <v>9</v>
      </c>
      <c r="E184">
        <v>10</v>
      </c>
    </row>
    <row r="185" spans="1:8" x14ac:dyDescent="0.35">
      <c r="A185" t="str">
        <v>E. Nesbit</v>
      </c>
      <c r="B185" t="str">
        <f>books!B184</f>
        <v>E.B. White</v>
      </c>
      <c r="C185">
        <v>10</v>
      </c>
      <c r="D185">
        <v>9</v>
      </c>
      <c r="E185">
        <v>9</v>
      </c>
      <c r="F185">
        <v>9</v>
      </c>
    </row>
    <row r="186" spans="1:8" x14ac:dyDescent="0.35">
      <c r="A186" t="str">
        <v>Ruth Gannett</v>
      </c>
      <c r="B186" t="str">
        <f>books!B185</f>
        <v>E. Nesbit</v>
      </c>
      <c r="C186">
        <v>9</v>
      </c>
      <c r="D186">
        <v>8</v>
      </c>
      <c r="E186">
        <v>8</v>
      </c>
    </row>
    <row r="187" spans="1:8" x14ac:dyDescent="0.35">
      <c r="A187" t="str">
        <v>Will James</v>
      </c>
      <c r="B187" t="str">
        <f>books!B186</f>
        <v>Ruth Gannett</v>
      </c>
      <c r="C187">
        <v>6</v>
      </c>
    </row>
    <row r="188" spans="1:8" x14ac:dyDescent="0.35">
      <c r="A188" t="str">
        <v>David Goding</v>
      </c>
      <c r="B188" t="str">
        <f>books!B187</f>
        <v>Will James</v>
      </c>
      <c r="C188">
        <v>10</v>
      </c>
    </row>
    <row r="189" spans="1:8" x14ac:dyDescent="0.35">
      <c r="A189" t="str">
        <v>Jay Thomas</v>
      </c>
      <c r="B189" t="str">
        <f>books!B188</f>
        <v>David Goding</v>
      </c>
      <c r="C189">
        <v>8</v>
      </c>
    </row>
    <row r="190" spans="1:8" x14ac:dyDescent="0.35">
      <c r="A190" t="str">
        <v>Shel Silverstien</v>
      </c>
      <c r="B190" t="str">
        <f>books!B189</f>
        <v>Jay Thomas</v>
      </c>
      <c r="C190">
        <v>9</v>
      </c>
    </row>
    <row r="191" spans="1:8" x14ac:dyDescent="0.35">
      <c r="A191" t="str">
        <v>Ryan Messmore</v>
      </c>
      <c r="B191" t="str">
        <f>books!B190</f>
        <v>Shel Silverstien</v>
      </c>
      <c r="C191">
        <v>9</v>
      </c>
    </row>
    <row r="192" spans="1:8" x14ac:dyDescent="0.35">
      <c r="A192" t="str">
        <v>Greg Stier</v>
      </c>
      <c r="B192" t="str">
        <f>books!B191</f>
        <v>Ryan Messmore</v>
      </c>
      <c r="C192">
        <v>8</v>
      </c>
    </row>
    <row r="193" spans="1:6" x14ac:dyDescent="0.35">
      <c r="A193" t="str">
        <v>Walter Farley</v>
      </c>
      <c r="B193" t="str">
        <f>books!B192</f>
        <v>Greg Stier</v>
      </c>
      <c r="C193">
        <v>10</v>
      </c>
      <c r="D193">
        <v>8</v>
      </c>
    </row>
    <row r="194" spans="1:6" x14ac:dyDescent="0.35">
      <c r="A194" t="str">
        <v>Laura Hope</v>
      </c>
      <c r="B194" t="str">
        <f>books!B193</f>
        <v>Walter Farley</v>
      </c>
      <c r="C194">
        <v>7</v>
      </c>
      <c r="D194">
        <v>7</v>
      </c>
      <c r="E194">
        <v>7</v>
      </c>
      <c r="F194">
        <v>7</v>
      </c>
    </row>
    <row r="195" spans="1:6" x14ac:dyDescent="0.35">
      <c r="A195" t="str">
        <v>Homer</v>
      </c>
      <c r="B195" t="str">
        <f>books!B194</f>
        <v>Laura Hope</v>
      </c>
      <c r="C195">
        <v>9</v>
      </c>
      <c r="D195">
        <v>9</v>
      </c>
    </row>
    <row r="196" spans="1:6" x14ac:dyDescent="0.35">
      <c r="A196" t="str">
        <v>Lewis Carroll</v>
      </c>
      <c r="B196" t="e">
        <f>books!#REF!</f>
        <v>#REF!</v>
      </c>
      <c r="C196">
        <v>7</v>
      </c>
    </row>
    <row r="197" spans="1:6" x14ac:dyDescent="0.35">
      <c r="A197" t="str">
        <v>Franz Kafka</v>
      </c>
      <c r="B197" t="str">
        <f>books!B195</f>
        <v>Homer</v>
      </c>
      <c r="C197">
        <v>4</v>
      </c>
      <c r="D197">
        <v>4</v>
      </c>
    </row>
    <row r="198" spans="1:6" x14ac:dyDescent="0.35">
      <c r="A198" t="str">
        <v>Anonymous</v>
      </c>
      <c r="B198" t="e">
        <f>books!#REF!</f>
        <v>#REF!</v>
      </c>
      <c r="C198">
        <v>7</v>
      </c>
    </row>
    <row r="199" spans="1:6" x14ac:dyDescent="0.35">
      <c r="A199" t="str">
        <v>Johann von Goethe</v>
      </c>
      <c r="B199" t="str">
        <f>books!B196</f>
        <v>Lewis Carroll</v>
      </c>
      <c r="C199">
        <v>6</v>
      </c>
    </row>
    <row r="200" spans="1:6" x14ac:dyDescent="0.35">
      <c r="A200" t="str">
        <v>Brothers Grimm</v>
      </c>
      <c r="B200" t="str">
        <f>books!B197</f>
        <v>Franz Kafka</v>
      </c>
      <c r="C200">
        <v>10</v>
      </c>
    </row>
    <row r="201" spans="1:6" x14ac:dyDescent="0.35">
      <c r="A201" t="str">
        <v>Joseph Conrad</v>
      </c>
      <c r="B201" t="str">
        <f>books!B198</f>
        <v>Anonymous</v>
      </c>
      <c r="C201">
        <v>9</v>
      </c>
    </row>
    <row r="202" spans="1:6" x14ac:dyDescent="0.35">
      <c r="A202" t="str">
        <v>Johanna Spyri</v>
      </c>
      <c r="B202" t="str">
        <f>books!B199</f>
        <v>Johann von Goethe</v>
      </c>
      <c r="C202">
        <v>7</v>
      </c>
    </row>
    <row r="203" spans="1:6" x14ac:dyDescent="0.35">
      <c r="A203" t="str">
        <v>Harriet Stowe</v>
      </c>
      <c r="B203" t="str">
        <f>books!B200</f>
        <v>Brothers Grimm</v>
      </c>
      <c r="C203">
        <v>7</v>
      </c>
    </row>
    <row r="204" spans="1:6" x14ac:dyDescent="0.35">
      <c r="A204" t="str">
        <v>Alison Goodman</v>
      </c>
      <c r="B204" t="str">
        <f>books!B201</f>
        <v>Joseph Conrad</v>
      </c>
      <c r="C204">
        <v>10</v>
      </c>
      <c r="D204">
        <v>9</v>
      </c>
    </row>
    <row r="205" spans="1:6" x14ac:dyDescent="0.35">
      <c r="A205" t="str">
        <v>Margery Williams</v>
      </c>
      <c r="B205" t="str">
        <f>books!B202</f>
        <v>Johanna Spyri</v>
      </c>
      <c r="C205">
        <v>9</v>
      </c>
    </row>
    <row r="206" spans="1:6" x14ac:dyDescent="0.35">
      <c r="A206" t="str">
        <v>Antoine de Saint-Exupery</v>
      </c>
      <c r="B206" t="str">
        <f>books!B203</f>
        <v>Harriet Stowe</v>
      </c>
      <c r="C206">
        <v>6</v>
      </c>
    </row>
    <row r="207" spans="1:6" x14ac:dyDescent="0.35">
      <c r="A207" t="str">
        <v>Joseph Bruchac</v>
      </c>
      <c r="B207" t="str">
        <f>books!B204</f>
        <v>Alison Goodman</v>
      </c>
      <c r="C207">
        <v>8</v>
      </c>
    </row>
    <row r="208" spans="1:6" x14ac:dyDescent="0.35">
      <c r="A208" t="str">
        <v>William Sleator</v>
      </c>
      <c r="B208" t="str">
        <f>books!B205</f>
        <v>Margery Williams</v>
      </c>
      <c r="C208">
        <v>8</v>
      </c>
    </row>
    <row r="209" spans="1:6" x14ac:dyDescent="0.35">
      <c r="A209" t="str">
        <v>Mary Norton</v>
      </c>
      <c r="B209" t="str">
        <f>books!B206</f>
        <v>Antoine de Saint-Exupery</v>
      </c>
      <c r="C209">
        <v>8</v>
      </c>
      <c r="D209">
        <v>8</v>
      </c>
      <c r="E209">
        <v>8</v>
      </c>
      <c r="F209">
        <v>10</v>
      </c>
    </row>
    <row r="210" spans="1:6" x14ac:dyDescent="0.35">
      <c r="A210" t="str">
        <v>Carlo Collodi</v>
      </c>
      <c r="B210" t="str">
        <f>books!B207</f>
        <v>Joseph Bruchac</v>
      </c>
      <c r="C210">
        <v>7</v>
      </c>
    </row>
    <row r="211" spans="1:6" x14ac:dyDescent="0.35">
      <c r="A211" t="str">
        <v>P.L. Travers</v>
      </c>
      <c r="B211" t="str">
        <f>books!B208</f>
        <v>William Sleator</v>
      </c>
      <c r="C211">
        <v>10</v>
      </c>
      <c r="D211">
        <v>10</v>
      </c>
      <c r="E211">
        <v>10</v>
      </c>
      <c r="F211">
        <v>10</v>
      </c>
    </row>
    <row r="212" spans="1:6" x14ac:dyDescent="0.35">
      <c r="A212" t="str">
        <v>Natalie Babbitt</v>
      </c>
      <c r="B212" t="str">
        <f>books!B209</f>
        <v>Mary Norton</v>
      </c>
      <c r="C212">
        <v>7</v>
      </c>
    </row>
    <row r="213" spans="1:6" x14ac:dyDescent="0.35">
      <c r="A213" t="str">
        <v>Steve Corbett &amp; Brian Fikkert</v>
      </c>
      <c r="B213" t="str">
        <f>books!B210</f>
        <v>Carlo Collodi</v>
      </c>
      <c r="C213">
        <v>9</v>
      </c>
    </row>
    <row r="214" spans="1:6" x14ac:dyDescent="0.35">
      <c r="A214" t="str">
        <v>Mike Lupica</v>
      </c>
      <c r="B214" t="str">
        <f>books!B211</f>
        <v>P.L. Travers</v>
      </c>
      <c r="C214">
        <v>6</v>
      </c>
    </row>
    <row r="215" spans="1:6" x14ac:dyDescent="0.35">
      <c r="A215" t="str">
        <v>Elliot Coleman</v>
      </c>
      <c r="B215" t="str">
        <f>books!B212</f>
        <v>Natalie Babbitt</v>
      </c>
      <c r="C215">
        <v>8</v>
      </c>
    </row>
    <row r="216" spans="1:6" x14ac:dyDescent="0.35">
      <c r="A216" t="str">
        <v>Women of China</v>
      </c>
      <c r="B216" t="str">
        <f>books!B213</f>
        <v>Steve Corbett &amp; Brian Fikkert</v>
      </c>
      <c r="C216">
        <v>9</v>
      </c>
    </row>
    <row r="217" spans="1:6" x14ac:dyDescent="0.35">
      <c r="A217" t="str">
        <v>Jimmy Williams &amp; Susan Heeger</v>
      </c>
      <c r="B217" t="str">
        <f>books!B214</f>
        <v>Mike Lupica</v>
      </c>
      <c r="C217">
        <v>9</v>
      </c>
    </row>
    <row r="218" spans="1:6" x14ac:dyDescent="0.35">
      <c r="A218" t="str">
        <v>William Danforth</v>
      </c>
      <c r="B218" t="str">
        <f>books!B215</f>
        <v>Elliot Coleman</v>
      </c>
      <c r="C218">
        <v>8</v>
      </c>
    </row>
    <row r="219" spans="1:6" x14ac:dyDescent="0.35">
      <c r="A219" t="str">
        <v>Edward Bloor</v>
      </c>
      <c r="B219" t="str">
        <f>books!B216</f>
        <v>Women of China</v>
      </c>
      <c r="C219">
        <v>7</v>
      </c>
    </row>
    <row r="220" spans="1:6" x14ac:dyDescent="0.35">
      <c r="A220" t="str">
        <v>Ernest Cline</v>
      </c>
      <c r="B220" t="str">
        <f>books!B217</f>
        <v>Jimmy Williams &amp; Susan Heeger</v>
      </c>
      <c r="C220">
        <v>10</v>
      </c>
    </row>
    <row r="221" spans="1:6" x14ac:dyDescent="0.35">
      <c r="A221" t="str">
        <v>Dan Gutman</v>
      </c>
      <c r="B221" t="str">
        <f>books!B218</f>
        <v>William Danforth</v>
      </c>
      <c r="C221">
        <v>6</v>
      </c>
      <c r="D221">
        <v>6</v>
      </c>
      <c r="E221">
        <v>6</v>
      </c>
    </row>
    <row r="222" spans="1:6" x14ac:dyDescent="0.35">
      <c r="A222" t="str">
        <v>Ben Mikaelsen</v>
      </c>
      <c r="B222" t="str">
        <f>books!B219</f>
        <v>Edward Bloor</v>
      </c>
      <c r="C222">
        <v>9</v>
      </c>
      <c r="D222">
        <v>8</v>
      </c>
      <c r="E222">
        <v>10</v>
      </c>
      <c r="F222">
        <v>9</v>
      </c>
    </row>
    <row r="223" spans="1:6" x14ac:dyDescent="0.35">
      <c r="A223" t="str">
        <v>Clarissa Estes</v>
      </c>
      <c r="B223" t="str">
        <f>books!B220</f>
        <v>Ernest Cline</v>
      </c>
      <c r="C223">
        <v>10</v>
      </c>
    </row>
    <row r="224" spans="1:6" x14ac:dyDescent="0.35">
      <c r="A224" t="str">
        <v>Rafe Martin &amp; Susan Gaber</v>
      </c>
      <c r="B224" t="str">
        <f>books!B221</f>
        <v>Dan Gutman</v>
      </c>
      <c r="C224">
        <v>10</v>
      </c>
    </row>
    <row r="225" spans="1:6" x14ac:dyDescent="0.35">
      <c r="A225" t="str">
        <v>Jane Yolen</v>
      </c>
      <c r="B225" t="str">
        <f>books!B222</f>
        <v>Ben Mikaelsen</v>
      </c>
      <c r="C225">
        <v>8</v>
      </c>
    </row>
    <row r="226" spans="1:6" x14ac:dyDescent="0.35">
      <c r="A226" t="str">
        <v>Avi</v>
      </c>
      <c r="B226" t="str">
        <f>books!B223</f>
        <v>Clarissa Estes</v>
      </c>
      <c r="C226">
        <v>9</v>
      </c>
      <c r="D226">
        <v>10</v>
      </c>
      <c r="E226">
        <v>9</v>
      </c>
      <c r="F226">
        <v>8</v>
      </c>
    </row>
    <row r="227" spans="1:6" x14ac:dyDescent="0.35">
      <c r="A227" t="str">
        <v>Susan Sloate</v>
      </c>
      <c r="B227" t="str">
        <f>books!B224</f>
        <v>Rafe Martin &amp; Susan Gaber</v>
      </c>
      <c r="C227">
        <v>10</v>
      </c>
    </row>
    <row r="228" spans="1:6" x14ac:dyDescent="0.35">
      <c r="A228" t="str">
        <v>Eleanor Coerr</v>
      </c>
      <c r="B228" t="str">
        <f>books!B225</f>
        <v>Jane Yolen</v>
      </c>
      <c r="C228">
        <v>10</v>
      </c>
    </row>
    <row r="229" spans="1:6" x14ac:dyDescent="0.35">
      <c r="A229" t="str">
        <v>William Bridges</v>
      </c>
      <c r="B229" t="str">
        <f>books!B226</f>
        <v>Avi</v>
      </c>
      <c r="C229">
        <v>9</v>
      </c>
    </row>
    <row r="230" spans="1:6" x14ac:dyDescent="0.35">
      <c r="A230" t="str">
        <v>Steve Shadrach</v>
      </c>
      <c r="B230" t="str">
        <f>books!B227</f>
        <v>Susan Sloate</v>
      </c>
      <c r="C230">
        <v>7</v>
      </c>
    </row>
    <row r="231" spans="1:6" x14ac:dyDescent="0.35">
      <c r="A231" t="str">
        <v>R.M. Frazer</v>
      </c>
      <c r="B231" t="str">
        <f>books!B228</f>
        <v>Eleanor Coerr</v>
      </c>
      <c r="C231">
        <v>8</v>
      </c>
    </row>
    <row r="232" spans="1:6" x14ac:dyDescent="0.35">
      <c r="A232" t="str">
        <v>Frances Goodrich</v>
      </c>
      <c r="B232" t="str">
        <f>books!B229</f>
        <v>William Bridges</v>
      </c>
      <c r="C232">
        <v>9</v>
      </c>
    </row>
    <row r="233" spans="1:6" x14ac:dyDescent="0.35">
      <c r="A233" t="str">
        <v>Enid Bagnold</v>
      </c>
      <c r="B233" t="str">
        <f>books!B230</f>
        <v>Steve Shadrach</v>
      </c>
      <c r="C233">
        <v>7</v>
      </c>
    </row>
    <row r="234" spans="1:6" x14ac:dyDescent="0.35">
      <c r="A234" t="str">
        <v>Florence Sakade</v>
      </c>
      <c r="B234" t="str">
        <f>books!B231</f>
        <v>R.M. Frazer</v>
      </c>
      <c r="C234">
        <v>7</v>
      </c>
    </row>
    <row r="235" spans="1:6" x14ac:dyDescent="0.35">
      <c r="A235" t="str">
        <v>Lauren Mills</v>
      </c>
      <c r="B235" t="str">
        <f>books!B232</f>
        <v>Frances Goodrich</v>
      </c>
      <c r="C235">
        <v>10</v>
      </c>
    </row>
    <row r="236" spans="1:6" x14ac:dyDescent="0.35">
      <c r="A236" t="str">
        <v>Jim Murphy</v>
      </c>
      <c r="B236" t="e">
        <f>books!#REF!</f>
        <v>#REF!</v>
      </c>
      <c r="C236">
        <v>7</v>
      </c>
      <c r="D236">
        <v>7</v>
      </c>
    </row>
    <row r="237" spans="1:6" x14ac:dyDescent="0.35">
      <c r="A237" t="str">
        <v>Lois Leppard</v>
      </c>
      <c r="B237" t="str">
        <f>books!B233</f>
        <v>Enid Bagnold</v>
      </c>
      <c r="C237">
        <v>7</v>
      </c>
    </row>
    <row r="238" spans="1:6" x14ac:dyDescent="0.35">
      <c r="A238" t="str">
        <v>Astrid Lindgren</v>
      </c>
      <c r="B238" t="str">
        <f>books!B234</f>
        <v>Florence Sakade</v>
      </c>
      <c r="C238">
        <v>10</v>
      </c>
    </row>
    <row r="239" spans="1:6" x14ac:dyDescent="0.35">
      <c r="A239" t="str">
        <v>Elizaberth Lewis</v>
      </c>
      <c r="B239" t="str">
        <f>books!B235</f>
        <v>Lauren Mills</v>
      </c>
      <c r="C239">
        <v>8</v>
      </c>
    </row>
    <row r="240" spans="1:6" x14ac:dyDescent="0.35">
      <c r="A240" t="str">
        <v>Stephen Meader</v>
      </c>
      <c r="B240" t="str">
        <f>books!B236</f>
        <v>Jim Murphy</v>
      </c>
      <c r="C240">
        <v>6</v>
      </c>
    </row>
    <row r="241" spans="1:10" x14ac:dyDescent="0.35">
      <c r="A241" t="str">
        <v>Elvira Woodruff</v>
      </c>
      <c r="B241" t="str">
        <f>books!B237</f>
        <v>Lois Leppard</v>
      </c>
      <c r="C241">
        <v>8</v>
      </c>
    </row>
    <row r="242" spans="1:10" x14ac:dyDescent="0.35">
      <c r="A242" t="str">
        <v>E.C. Forster &amp; Slim Williams</v>
      </c>
      <c r="B242" t="str">
        <f>books!B238</f>
        <v>Astrid Lindgren</v>
      </c>
      <c r="C242">
        <v>6</v>
      </c>
    </row>
    <row r="243" spans="1:10" x14ac:dyDescent="0.35">
      <c r="A243" t="str">
        <v>Harriette Robinet</v>
      </c>
      <c r="B243" t="str">
        <f>books!B239</f>
        <v>Elizaberth Lewis</v>
      </c>
      <c r="C243">
        <v>8</v>
      </c>
    </row>
    <row r="244" spans="1:10" x14ac:dyDescent="0.35">
      <c r="A244" t="str">
        <v>Janwillem van de Wetering</v>
      </c>
      <c r="B244" t="str">
        <f>books!B240</f>
        <v>Stephen Meader</v>
      </c>
      <c r="C244">
        <v>9</v>
      </c>
    </row>
    <row r="245" spans="1:10" x14ac:dyDescent="0.35">
      <c r="A245" t="str">
        <v>Debbie Dadey &amp; Marcia Jones</v>
      </c>
      <c r="B245" t="str">
        <f>books!B241</f>
        <v>Elvira Woodruff</v>
      </c>
      <c r="C245">
        <v>8</v>
      </c>
      <c r="D245">
        <v>8</v>
      </c>
      <c r="E245">
        <v>8</v>
      </c>
    </row>
    <row r="246" spans="1:10" x14ac:dyDescent="0.35">
      <c r="A246" t="str">
        <v>Carolyn Haywood</v>
      </c>
      <c r="B246" t="str">
        <f>books!B242</f>
        <v>E.C. Forster &amp; Slim Williams</v>
      </c>
      <c r="C246">
        <v>8</v>
      </c>
    </row>
    <row r="247" spans="1:10" x14ac:dyDescent="0.35">
      <c r="A247" t="str">
        <v>Jean Ure</v>
      </c>
      <c r="B247" t="str">
        <f>books!B243</f>
        <v>Harriette Robinet</v>
      </c>
      <c r="C247">
        <v>7</v>
      </c>
    </row>
    <row r="248" spans="1:10" x14ac:dyDescent="0.35">
      <c r="A248" t="str">
        <v>Yoshiko Uchida</v>
      </c>
      <c r="B248" t="str">
        <f>books!B244</f>
        <v>Janwillem van de Wetering</v>
      </c>
      <c r="C248">
        <v>8</v>
      </c>
    </row>
    <row r="249" spans="1:10" x14ac:dyDescent="0.35">
      <c r="A249" t="str">
        <v>Janet Lisle</v>
      </c>
      <c r="B249" t="str">
        <f>books!B245</f>
        <v>Debbie Dadey &amp; Marcia Jones</v>
      </c>
      <c r="C249">
        <v>7</v>
      </c>
    </row>
    <row r="250" spans="1:10" x14ac:dyDescent="0.35">
      <c r="A250" t="str">
        <v>Patricia Giff</v>
      </c>
      <c r="B250" t="str">
        <f>books!B246</f>
        <v>Carolyn Haywood</v>
      </c>
      <c r="C250">
        <v>10</v>
      </c>
    </row>
    <row r="251" spans="1:10" x14ac:dyDescent="0.35">
      <c r="A251" t="str">
        <v>Carl Hiaasen</v>
      </c>
      <c r="B251" t="str">
        <f>books!B247</f>
        <v>Jean Ure</v>
      </c>
      <c r="C251">
        <v>9</v>
      </c>
      <c r="D251">
        <v>9</v>
      </c>
      <c r="E251">
        <v>9</v>
      </c>
    </row>
    <row r="252" spans="1:10" x14ac:dyDescent="0.35">
      <c r="A252" t="str">
        <v>Debra Seely</v>
      </c>
      <c r="B252" t="str">
        <f>books!B248</f>
        <v>Yoshiko Uchida</v>
      </c>
      <c r="C252">
        <v>7</v>
      </c>
    </row>
    <row r="253" spans="1:10" x14ac:dyDescent="0.35">
      <c r="A253" t="str">
        <v>Doris Schroder</v>
      </c>
      <c r="B253" t="str">
        <f>books!B249</f>
        <v>Janet Lisle</v>
      </c>
      <c r="C253">
        <v>8</v>
      </c>
    </row>
    <row r="254" spans="1:10" x14ac:dyDescent="0.35">
      <c r="A254" t="str">
        <v>Jeffrey Dean &amp; Robby McGee</v>
      </c>
      <c r="B254" t="str">
        <f>books!B250</f>
        <v>Patricia Giff</v>
      </c>
      <c r="C254">
        <v>8</v>
      </c>
    </row>
    <row r="255" spans="1:10" x14ac:dyDescent="0.35">
      <c r="A255" t="str">
        <v>Marguerite De Angel</v>
      </c>
      <c r="B255" t="str">
        <f>books!B251</f>
        <v>Carl Hiaasen</v>
      </c>
      <c r="C255">
        <v>10</v>
      </c>
    </row>
    <row r="256" spans="1:10" x14ac:dyDescent="0.35">
      <c r="A256" t="str">
        <v>T.A. Barron</v>
      </c>
      <c r="B256" t="str">
        <f>books!B252</f>
        <v>Debra Seely</v>
      </c>
      <c r="C256">
        <v>10</v>
      </c>
      <c r="D256">
        <v>10</v>
      </c>
      <c r="E256">
        <v>10</v>
      </c>
      <c r="F256">
        <v>10</v>
      </c>
      <c r="G256">
        <v>10</v>
      </c>
      <c r="H256">
        <v>10</v>
      </c>
      <c r="I256">
        <v>10</v>
      </c>
      <c r="J256">
        <v>10</v>
      </c>
    </row>
    <row r="257" spans="1:6" x14ac:dyDescent="0.35">
      <c r="A257" t="str">
        <v>Geri Keams</v>
      </c>
      <c r="B257" t="str">
        <f>books!B253</f>
        <v>Doris Schroder</v>
      </c>
      <c r="C257">
        <v>10</v>
      </c>
    </row>
    <row r="258" spans="1:6" x14ac:dyDescent="0.35">
      <c r="A258" t="str">
        <v>Sarah Kilborne</v>
      </c>
      <c r="B258" t="str">
        <f>books!B254</f>
        <v>Jeffrey Dean &amp; Robby McGee</v>
      </c>
      <c r="C258">
        <v>10</v>
      </c>
    </row>
    <row r="259" spans="1:6" x14ac:dyDescent="0.35">
      <c r="A259" t="str">
        <v>Gayle Ross &amp; Murv Jacob</v>
      </c>
      <c r="B259" t="e">
        <f>books!#REF!</f>
        <v>#REF!</v>
      </c>
      <c r="C259">
        <v>10</v>
      </c>
    </row>
    <row r="260" spans="1:6" x14ac:dyDescent="0.35">
      <c r="A260" t="str">
        <v>Kurt Vonnegut</v>
      </c>
      <c r="B260" t="str">
        <f>books!B255</f>
        <v>Marguerite De Angel</v>
      </c>
      <c r="C260">
        <v>10</v>
      </c>
      <c r="D260">
        <v>7</v>
      </c>
    </row>
    <row r="261" spans="1:6" x14ac:dyDescent="0.35">
      <c r="A261" t="str">
        <v>Brian Selznick</v>
      </c>
      <c r="B261" t="str">
        <f>books!B256</f>
        <v>T.A. Barron</v>
      </c>
      <c r="C261">
        <v>10</v>
      </c>
      <c r="D261">
        <v>10</v>
      </c>
    </row>
    <row r="262" spans="1:6" x14ac:dyDescent="0.35">
      <c r="A262" t="str">
        <v>Eoin McNamee</v>
      </c>
      <c r="B262" t="str">
        <f>books!B257</f>
        <v>Geri Keams</v>
      </c>
      <c r="C262">
        <v>10</v>
      </c>
      <c r="D262">
        <v>10</v>
      </c>
      <c r="E262">
        <v>10</v>
      </c>
    </row>
    <row r="263" spans="1:6" x14ac:dyDescent="0.35">
      <c r="A263" t="str">
        <v>Jack Canfield</v>
      </c>
      <c r="B263" t="str">
        <f>books!B258</f>
        <v>Sarah Kilborne</v>
      </c>
      <c r="C263">
        <v>6</v>
      </c>
    </row>
    <row r="264" spans="1:6" x14ac:dyDescent="0.35">
      <c r="A264" t="str">
        <v>Williams Durbin</v>
      </c>
      <c r="B264" t="str">
        <f>books!B259</f>
        <v>Gayle Ross &amp; Murv Jacob</v>
      </c>
      <c r="C264">
        <v>6</v>
      </c>
    </row>
    <row r="265" spans="1:6" x14ac:dyDescent="0.35">
      <c r="A265" t="str">
        <v>N.D. Wilson</v>
      </c>
      <c r="B265" t="str">
        <f>books!B260</f>
        <v>Kurt Vonnegut</v>
      </c>
      <c r="C265">
        <v>10</v>
      </c>
      <c r="D265">
        <v>9</v>
      </c>
      <c r="E265">
        <v>9</v>
      </c>
    </row>
    <row r="266" spans="1:6" x14ac:dyDescent="0.35">
      <c r="A266" t="str">
        <v>Roland Smith</v>
      </c>
      <c r="B266" t="str">
        <f>books!B261</f>
        <v>Brian Selznick</v>
      </c>
      <c r="C266">
        <v>10</v>
      </c>
    </row>
    <row r="267" spans="1:6" x14ac:dyDescent="0.35">
      <c r="A267" t="str">
        <v>Kevin Crossley-Holland</v>
      </c>
      <c r="B267" t="str">
        <f>books!B262</f>
        <v>Eoin McNamee</v>
      </c>
      <c r="C267">
        <v>9</v>
      </c>
      <c r="D267">
        <v>9</v>
      </c>
      <c r="E267">
        <v>9</v>
      </c>
    </row>
    <row r="268" spans="1:6" x14ac:dyDescent="0.35">
      <c r="A268" t="str">
        <v>Pittacus Lore</v>
      </c>
      <c r="B268" t="str">
        <f>books!B263</f>
        <v>Jack Canfield</v>
      </c>
      <c r="C268">
        <v>9</v>
      </c>
      <c r="D268">
        <v>8</v>
      </c>
      <c r="E268">
        <v>8</v>
      </c>
      <c r="F268">
        <v>7</v>
      </c>
    </row>
    <row r="269" spans="1:6" x14ac:dyDescent="0.35">
      <c r="A269" t="str">
        <v>Michael Reisman</v>
      </c>
      <c r="B269" t="str">
        <f>books!B264</f>
        <v>Williams Durbin</v>
      </c>
      <c r="C269">
        <v>10</v>
      </c>
      <c r="D269">
        <v>8</v>
      </c>
    </row>
    <row r="270" spans="1:6" x14ac:dyDescent="0.35">
      <c r="A270" t="str">
        <v>Jeffrey Freed &amp; Joan Shapiro</v>
      </c>
      <c r="B270" t="str">
        <f>books!B265</f>
        <v>N.D. Wilson</v>
      </c>
      <c r="C270">
        <v>8</v>
      </c>
    </row>
    <row r="271" spans="1:6" x14ac:dyDescent="0.35">
      <c r="A271" t="str">
        <v>Clyde Bulla</v>
      </c>
      <c r="B271" t="str">
        <f>books!B266</f>
        <v>Roland Smith</v>
      </c>
      <c r="C271">
        <v>7</v>
      </c>
    </row>
    <row r="272" spans="1:6" x14ac:dyDescent="0.35">
      <c r="A272" t="str">
        <v>M. Clarke</v>
      </c>
      <c r="B272" t="str">
        <f>books!B267</f>
        <v>Kevin Crossley-Holland</v>
      </c>
      <c r="C272">
        <v>7</v>
      </c>
    </row>
    <row r="273" spans="1:9" x14ac:dyDescent="0.35">
      <c r="A273" t="str">
        <v>Foreign Language Press</v>
      </c>
      <c r="B273" t="str">
        <f>books!B268</f>
        <v>Pittacus Lore</v>
      </c>
      <c r="C273">
        <v>9</v>
      </c>
      <c r="D273">
        <v>9</v>
      </c>
    </row>
    <row r="274" spans="1:9" x14ac:dyDescent="0.35">
      <c r="A274" t="str">
        <v>William Strunk and E.B. White</v>
      </c>
      <c r="B274" t="str">
        <f>books!B269</f>
        <v>Michael Reisman</v>
      </c>
      <c r="C274">
        <v>10</v>
      </c>
    </row>
    <row r="275" spans="1:9" x14ac:dyDescent="0.35">
      <c r="A275" t="str">
        <v>T.H. White</v>
      </c>
      <c r="B275" t="str">
        <f>books!B270</f>
        <v>Jeffrey Freed &amp; Joan Shapiro</v>
      </c>
      <c r="C275">
        <v>8</v>
      </c>
    </row>
    <row r="276" spans="1:9" x14ac:dyDescent="0.35">
      <c r="A276" t="str">
        <v>Jean Van Leeuwen</v>
      </c>
      <c r="B276" t="str">
        <f>books!B271</f>
        <v>Clyde Bulla</v>
      </c>
      <c r="C276">
        <v>10</v>
      </c>
      <c r="D276">
        <v>6</v>
      </c>
    </row>
    <row r="277" spans="1:9" x14ac:dyDescent="0.35">
      <c r="A277" t="str">
        <v>Nicholas Edwards</v>
      </c>
      <c r="B277" t="str">
        <f>books!B272</f>
        <v>M. Clarke</v>
      </c>
      <c r="C277">
        <v>8</v>
      </c>
    </row>
    <row r="278" spans="1:9" x14ac:dyDescent="0.35">
      <c r="A278" t="str">
        <v>Laura Ahearn</v>
      </c>
      <c r="B278" t="str">
        <f>books!B273</f>
        <v>Foreign Language Press</v>
      </c>
      <c r="C278">
        <v>9</v>
      </c>
    </row>
    <row r="279" spans="1:9" x14ac:dyDescent="0.35">
      <c r="A279" t="str">
        <v>Helene Wecker</v>
      </c>
      <c r="B279" t="str">
        <f>books!B274</f>
        <v>William Strunk and E.B. White</v>
      </c>
      <c r="C279">
        <v>9</v>
      </c>
    </row>
    <row r="280" spans="1:9" x14ac:dyDescent="0.35">
      <c r="A280" t="str">
        <v>Linda Chapman &amp; Steve Cole</v>
      </c>
      <c r="B280" t="str">
        <f>books!B275</f>
        <v>T.H. White</v>
      </c>
      <c r="C280">
        <v>8</v>
      </c>
    </row>
    <row r="281" spans="1:9" x14ac:dyDescent="0.35">
      <c r="A281" t="str">
        <v>Derek Benz &amp; J.S. Lewis</v>
      </c>
      <c r="B281" t="str">
        <f>books!B276</f>
        <v>Jean Van Leeuwen</v>
      </c>
      <c r="C281">
        <v>9</v>
      </c>
      <c r="D281">
        <v>9</v>
      </c>
      <c r="E281">
        <v>8</v>
      </c>
    </row>
    <row r="282" spans="1:9" x14ac:dyDescent="0.35">
      <c r="A282" t="str">
        <v>Stephen Lawhead</v>
      </c>
      <c r="B282" t="str">
        <f>books!B277</f>
        <v>Nicholas Edwards</v>
      </c>
      <c r="C282">
        <v>9</v>
      </c>
      <c r="D282">
        <v>9</v>
      </c>
      <c r="E282">
        <v>9</v>
      </c>
    </row>
    <row r="283" spans="1:9" x14ac:dyDescent="0.35">
      <c r="A283" t="str">
        <v>Frances Hardinge</v>
      </c>
      <c r="B283" t="str">
        <f>books!B278</f>
        <v>Laura Ahearn</v>
      </c>
      <c r="C283">
        <v>9</v>
      </c>
    </row>
    <row r="284" spans="1:9" x14ac:dyDescent="0.35">
      <c r="A284" t="str">
        <v>Mark Frost</v>
      </c>
      <c r="B284" t="str">
        <f>books!B279</f>
        <v>Helene Wecker</v>
      </c>
      <c r="C284">
        <v>9</v>
      </c>
      <c r="D284">
        <v>8</v>
      </c>
      <c r="E284">
        <v>8</v>
      </c>
    </row>
    <row r="285" spans="1:9" x14ac:dyDescent="0.35">
      <c r="A285" t="str">
        <v>Philip Freeman</v>
      </c>
      <c r="B285" t="str">
        <f>books!B280</f>
        <v>Linda Chapman &amp; Steve Cole</v>
      </c>
      <c r="C285">
        <v>7</v>
      </c>
    </row>
    <row r="286" spans="1:9" x14ac:dyDescent="0.35">
      <c r="A286" t="str">
        <v>Kenneth Oppel</v>
      </c>
      <c r="B286" t="str">
        <f>books!B281</f>
        <v>Derek Benz &amp; J.S. Lewis</v>
      </c>
      <c r="C286">
        <v>10</v>
      </c>
      <c r="D286">
        <v>9</v>
      </c>
      <c r="E286">
        <v>9</v>
      </c>
      <c r="F286">
        <v>9</v>
      </c>
      <c r="G286">
        <v>10</v>
      </c>
      <c r="H286">
        <v>9</v>
      </c>
      <c r="I286">
        <v>9</v>
      </c>
    </row>
    <row r="287" spans="1:9" x14ac:dyDescent="0.35">
      <c r="A287" t="str">
        <v>Jeff Stone</v>
      </c>
      <c r="B287" t="str">
        <f>books!B282</f>
        <v>Stephen Lawhead</v>
      </c>
      <c r="C287">
        <v>9</v>
      </c>
      <c r="D287">
        <v>9</v>
      </c>
      <c r="E287">
        <v>9</v>
      </c>
      <c r="F287">
        <v>8</v>
      </c>
      <c r="G287">
        <v>8</v>
      </c>
      <c r="H287">
        <v>8</v>
      </c>
    </row>
    <row r="288" spans="1:9" x14ac:dyDescent="0.35">
      <c r="A288" t="str">
        <v>Jonathan Stroud</v>
      </c>
      <c r="B288" t="str">
        <f>books!B283</f>
        <v>Frances Hardinge</v>
      </c>
      <c r="C288">
        <v>10</v>
      </c>
      <c r="D288">
        <v>10</v>
      </c>
      <c r="E288">
        <v>10</v>
      </c>
    </row>
    <row r="289" spans="1:9" x14ac:dyDescent="0.35">
      <c r="A289" t="str">
        <v>Howard Pyle</v>
      </c>
      <c r="B289" t="str">
        <f>books!B284</f>
        <v>Mark Frost</v>
      </c>
      <c r="C289">
        <v>9</v>
      </c>
    </row>
    <row r="290" spans="1:9" x14ac:dyDescent="0.35">
      <c r="A290" t="str">
        <v>Annabel Monaghan</v>
      </c>
      <c r="B290" t="str">
        <f>books!B285</f>
        <v>Philip Freeman</v>
      </c>
      <c r="C290">
        <v>7</v>
      </c>
    </row>
    <row r="291" spans="1:9" x14ac:dyDescent="0.35">
      <c r="A291" t="str">
        <v>Winston Groom</v>
      </c>
      <c r="B291" t="str">
        <f>books!B286</f>
        <v>Kenneth Oppel</v>
      </c>
      <c r="C291">
        <v>10</v>
      </c>
    </row>
    <row r="292" spans="1:9" x14ac:dyDescent="0.35">
      <c r="A292" t="str">
        <v>Liz Kessler</v>
      </c>
      <c r="B292" t="str">
        <f>books!B287</f>
        <v>Jeff Stone</v>
      </c>
      <c r="C292">
        <v>9</v>
      </c>
      <c r="D292">
        <v>7</v>
      </c>
      <c r="E292">
        <v>7</v>
      </c>
    </row>
    <row r="293" spans="1:9" x14ac:dyDescent="0.35">
      <c r="A293" t="str">
        <v>Sarah Prineas</v>
      </c>
      <c r="B293" t="str">
        <f>books!B288</f>
        <v>Jonathan Stroud</v>
      </c>
      <c r="C293">
        <v>9</v>
      </c>
      <c r="D293">
        <v>8</v>
      </c>
      <c r="E293">
        <v>7</v>
      </c>
    </row>
    <row r="294" spans="1:9" x14ac:dyDescent="0.35">
      <c r="A294" t="str">
        <v>Dave Pelzer</v>
      </c>
      <c r="B294" t="str">
        <f>books!B289</f>
        <v>Howard Pyle</v>
      </c>
      <c r="C294">
        <v>10</v>
      </c>
    </row>
    <row r="295" spans="1:9" x14ac:dyDescent="0.35">
      <c r="A295" t="str">
        <v>Leslea Newman</v>
      </c>
      <c r="B295" t="str">
        <f>books!B290</f>
        <v>Annabel Monaghan</v>
      </c>
      <c r="C295">
        <v>8</v>
      </c>
    </row>
    <row r="296" spans="1:9" x14ac:dyDescent="0.35">
      <c r="A296" t="str">
        <v>Dhan Mukerji</v>
      </c>
      <c r="B296" t="str">
        <f>books!B291</f>
        <v>Winston Groom</v>
      </c>
      <c r="C296">
        <v>7</v>
      </c>
    </row>
    <row r="297" spans="1:9" x14ac:dyDescent="0.35">
      <c r="A297" t="str">
        <v>Phyllis Naylor</v>
      </c>
      <c r="B297" t="str">
        <f>books!B292</f>
        <v>Liz Kessler</v>
      </c>
      <c r="C297">
        <v>8</v>
      </c>
      <c r="D297">
        <v>8</v>
      </c>
      <c r="E297">
        <v>7</v>
      </c>
    </row>
    <row r="298" spans="1:9" x14ac:dyDescent="0.35">
      <c r="A298" t="str">
        <v>P.B. Kerr</v>
      </c>
      <c r="B298" t="str">
        <f>books!B293</f>
        <v>Sarah Prineas</v>
      </c>
      <c r="C298">
        <v>9</v>
      </c>
      <c r="D298">
        <v>9</v>
      </c>
      <c r="E298">
        <v>9</v>
      </c>
      <c r="F298">
        <v>9</v>
      </c>
      <c r="G298">
        <v>9</v>
      </c>
      <c r="H298">
        <v>9</v>
      </c>
    </row>
    <row r="299" spans="1:9" x14ac:dyDescent="0.35">
      <c r="A299" t="str">
        <v>Katherine Hannigan</v>
      </c>
      <c r="B299" t="str">
        <f>books!B294</f>
        <v>Dave Pelzer</v>
      </c>
      <c r="C299">
        <v>7</v>
      </c>
    </row>
    <row r="300" spans="1:9" x14ac:dyDescent="0.35">
      <c r="A300" t="str">
        <v>Nancy Fan</v>
      </c>
      <c r="B300" t="str">
        <f>books!B295</f>
        <v>Leslea Newman</v>
      </c>
      <c r="C300">
        <v>8</v>
      </c>
      <c r="D300">
        <v>7</v>
      </c>
    </row>
    <row r="301" spans="1:9" x14ac:dyDescent="0.35">
      <c r="A301" t="str">
        <v>Judy Blume</v>
      </c>
      <c r="B301" t="str">
        <f>books!B296</f>
        <v>Dhan Mukerji</v>
      </c>
      <c r="C301">
        <v>8</v>
      </c>
      <c r="D301">
        <v>8</v>
      </c>
      <c r="E301">
        <v>8</v>
      </c>
      <c r="F301">
        <v>8</v>
      </c>
      <c r="G301">
        <v>8</v>
      </c>
      <c r="H301">
        <v>8</v>
      </c>
      <c r="I301">
        <v>8</v>
      </c>
    </row>
    <row r="302" spans="1:9" x14ac:dyDescent="0.35">
      <c r="A302" t="str">
        <v>Jeanne Birdsall</v>
      </c>
      <c r="B302" t="str">
        <f>books!B297</f>
        <v>Phyllis Naylor</v>
      </c>
      <c r="C302">
        <v>8</v>
      </c>
    </row>
    <row r="303" spans="1:9" x14ac:dyDescent="0.35">
      <c r="A303" t="str">
        <v>June Wood</v>
      </c>
      <c r="B303" t="str">
        <f>books!B298</f>
        <v>P.B. Kerr</v>
      </c>
      <c r="C303">
        <v>7</v>
      </c>
    </row>
    <row r="304" spans="1:9" x14ac:dyDescent="0.35">
      <c r="A304" t="str">
        <v>Robert Peck </v>
      </c>
      <c r="B304" t="str">
        <f>books!B299</f>
        <v>Katherine Hannigan</v>
      </c>
      <c r="C304">
        <v>10</v>
      </c>
    </row>
    <row r="305" spans="1:61" x14ac:dyDescent="0.35">
      <c r="A305" t="str">
        <v>Tracie Zimmer</v>
      </c>
      <c r="B305" t="str">
        <f>books!B300</f>
        <v>Nancy Fan</v>
      </c>
      <c r="C305">
        <v>8</v>
      </c>
    </row>
    <row r="306" spans="1:61" x14ac:dyDescent="0.35">
      <c r="A306" t="str">
        <v>Celia Wilkins</v>
      </c>
      <c r="B306" t="str">
        <f>books!B301</f>
        <v>Judy Blume</v>
      </c>
      <c r="C306">
        <v>8</v>
      </c>
      <c r="D306">
        <v>8</v>
      </c>
    </row>
    <row r="307" spans="1:61" x14ac:dyDescent="0.35">
      <c r="A307" t="str">
        <v>Gertrude Warner</v>
      </c>
      <c r="B307" t="str">
        <f>books!B302</f>
        <v>Jeanne Birdsall</v>
      </c>
      <c r="C307">
        <v>10</v>
      </c>
      <c r="D307">
        <v>10</v>
      </c>
      <c r="E307">
        <v>10</v>
      </c>
      <c r="F307">
        <v>9</v>
      </c>
      <c r="G307">
        <v>9</v>
      </c>
      <c r="H307">
        <v>9</v>
      </c>
      <c r="I307">
        <v>9</v>
      </c>
      <c r="J307">
        <v>9</v>
      </c>
      <c r="K307">
        <v>9</v>
      </c>
      <c r="L307">
        <v>9</v>
      </c>
      <c r="M307">
        <v>9</v>
      </c>
      <c r="N307">
        <v>9</v>
      </c>
      <c r="O307">
        <v>9</v>
      </c>
      <c r="P307">
        <v>9</v>
      </c>
      <c r="Q307">
        <v>9</v>
      </c>
      <c r="R307">
        <v>8</v>
      </c>
      <c r="S307">
        <v>8</v>
      </c>
      <c r="T307">
        <v>8</v>
      </c>
      <c r="U307">
        <v>8</v>
      </c>
      <c r="V307">
        <v>8</v>
      </c>
      <c r="W307">
        <v>8</v>
      </c>
      <c r="X307">
        <v>8</v>
      </c>
      <c r="Y307">
        <v>8</v>
      </c>
      <c r="Z307">
        <v>8</v>
      </c>
      <c r="AA307">
        <v>8</v>
      </c>
      <c r="AB307">
        <v>8</v>
      </c>
      <c r="AC307">
        <v>8</v>
      </c>
      <c r="AD307">
        <v>8</v>
      </c>
      <c r="AE307">
        <v>8</v>
      </c>
      <c r="AF307">
        <v>8</v>
      </c>
      <c r="AG307">
        <v>8</v>
      </c>
      <c r="AH307">
        <v>8</v>
      </c>
      <c r="AI307">
        <v>8</v>
      </c>
      <c r="AJ307">
        <v>8</v>
      </c>
      <c r="AK307">
        <v>8</v>
      </c>
      <c r="AL307">
        <v>8</v>
      </c>
      <c r="AM307">
        <v>8</v>
      </c>
      <c r="AN307">
        <v>8</v>
      </c>
      <c r="AO307">
        <v>8</v>
      </c>
      <c r="AP307">
        <v>8</v>
      </c>
      <c r="AQ307">
        <v>8</v>
      </c>
      <c r="AR307">
        <v>8</v>
      </c>
      <c r="AS307">
        <v>8</v>
      </c>
      <c r="AT307">
        <v>8</v>
      </c>
      <c r="AU307">
        <v>8</v>
      </c>
      <c r="AV307">
        <v>7</v>
      </c>
      <c r="AW307">
        <v>7</v>
      </c>
      <c r="AX307">
        <v>7</v>
      </c>
      <c r="AY307">
        <v>7</v>
      </c>
      <c r="AZ307">
        <v>7</v>
      </c>
      <c r="BA307">
        <v>7</v>
      </c>
      <c r="BB307">
        <v>7</v>
      </c>
      <c r="BC307">
        <v>7</v>
      </c>
      <c r="BD307">
        <v>7</v>
      </c>
      <c r="BE307">
        <v>7</v>
      </c>
      <c r="BF307">
        <v>7</v>
      </c>
      <c r="BG307">
        <v>7</v>
      </c>
      <c r="BH307">
        <v>7</v>
      </c>
      <c r="BI307">
        <v>7</v>
      </c>
    </row>
    <row r="308" spans="1:61" x14ac:dyDescent="0.35">
      <c r="A308" t="str">
        <v>Erin Hunter</v>
      </c>
      <c r="B308" t="str">
        <f>books!B303</f>
        <v>June Wood</v>
      </c>
      <c r="C308">
        <v>10</v>
      </c>
      <c r="D308">
        <v>9</v>
      </c>
      <c r="E308">
        <v>9</v>
      </c>
      <c r="F308">
        <v>9</v>
      </c>
      <c r="G308">
        <v>9</v>
      </c>
      <c r="H308">
        <v>9</v>
      </c>
      <c r="I308">
        <v>10</v>
      </c>
      <c r="J308">
        <v>9</v>
      </c>
      <c r="K308">
        <v>8</v>
      </c>
      <c r="L308">
        <v>8</v>
      </c>
      <c r="M308">
        <v>8</v>
      </c>
      <c r="N308">
        <v>8</v>
      </c>
      <c r="O308">
        <v>8</v>
      </c>
      <c r="P308">
        <v>8</v>
      </c>
      <c r="Q308">
        <v>8</v>
      </c>
      <c r="R308">
        <v>8</v>
      </c>
      <c r="S308">
        <v>8</v>
      </c>
      <c r="T308">
        <v>8</v>
      </c>
      <c r="U308">
        <v>8</v>
      </c>
      <c r="V308">
        <v>8</v>
      </c>
      <c r="W308">
        <v>7</v>
      </c>
      <c r="X308">
        <v>7</v>
      </c>
      <c r="Y308">
        <v>7</v>
      </c>
      <c r="Z308">
        <v>7</v>
      </c>
      <c r="AA308">
        <v>10</v>
      </c>
      <c r="AB308">
        <v>9</v>
      </c>
      <c r="AC308">
        <v>9</v>
      </c>
      <c r="AD308">
        <v>9</v>
      </c>
      <c r="AE308">
        <v>4</v>
      </c>
      <c r="AF308">
        <v>8</v>
      </c>
      <c r="AG308">
        <v>7</v>
      </c>
      <c r="AH308">
        <v>6</v>
      </c>
      <c r="AI308">
        <v>6</v>
      </c>
      <c r="AJ308">
        <v>6</v>
      </c>
    </row>
    <row r="309" spans="1:61" x14ac:dyDescent="0.35">
      <c r="A309" t="str">
        <v>Kevin Kwan</v>
      </c>
      <c r="B309" t="str">
        <f>books!B304</f>
        <v>Robert Peck </v>
      </c>
      <c r="C309">
        <v>9</v>
      </c>
      <c r="D309">
        <v>9</v>
      </c>
      <c r="E309">
        <v>9</v>
      </c>
    </row>
    <row r="310" spans="1:61" x14ac:dyDescent="0.35">
      <c r="A310" t="str">
        <v>Ron Chernow</v>
      </c>
      <c r="B310" t="str">
        <f>books!B305</f>
        <v>Tracie Zimmer</v>
      </c>
      <c r="C310">
        <v>10</v>
      </c>
      <c r="D310">
        <v>10</v>
      </c>
    </row>
    <row r="311" spans="1:61" x14ac:dyDescent="0.35">
      <c r="A311" t="str">
        <v>Walter White</v>
      </c>
      <c r="B311" t="str">
        <f>books!B306</f>
        <v>Celia Wilkins</v>
      </c>
      <c r="C311">
        <v>9</v>
      </c>
    </row>
    <row r="312" spans="1:61" x14ac:dyDescent="0.35">
      <c r="A312" t="str">
        <v>Kathryn Stockett</v>
      </c>
      <c r="B312" t="e">
        <f>books!#REF!</f>
        <v>#REF!</v>
      </c>
      <c r="C312">
        <v>8</v>
      </c>
    </row>
    <row r="313" spans="1:61" x14ac:dyDescent="0.35">
      <c r="A313" t="str">
        <v>Candice Millard</v>
      </c>
      <c r="B313" t="str">
        <f>books!B307</f>
        <v>Gertrude Warner</v>
      </c>
      <c r="C313">
        <v>8</v>
      </c>
    </row>
    <row r="314" spans="1:61" x14ac:dyDescent="0.35">
      <c r="A314" t="str">
        <v>Nella Larson</v>
      </c>
      <c r="B314" t="str">
        <f>books!B308</f>
        <v>Erin Hunter</v>
      </c>
      <c r="C314">
        <v>7</v>
      </c>
    </row>
    <row r="315" spans="1:61" x14ac:dyDescent="0.35">
      <c r="A315" t="str">
        <v>William Goldman</v>
      </c>
      <c r="B315" t="str">
        <f>books!B309</f>
        <v>Kevin Kwan</v>
      </c>
      <c r="C315">
        <v>10</v>
      </c>
    </row>
    <row r="316" spans="1:61" x14ac:dyDescent="0.35">
      <c r="A316" t="str">
        <v>Daniel Gage</v>
      </c>
      <c r="B316" t="str">
        <f>books!B310</f>
        <v>Ron Chernow</v>
      </c>
      <c r="C316">
        <v>9</v>
      </c>
    </row>
    <row r="317" spans="1:61" x14ac:dyDescent="0.35">
      <c r="A317" t="str">
        <v>Norton Juster</v>
      </c>
      <c r="B317" t="str">
        <f>books!B311</f>
        <v>Walter White</v>
      </c>
      <c r="C317">
        <v>9</v>
      </c>
    </row>
    <row r="318" spans="1:61" x14ac:dyDescent="0.35">
      <c r="A318" t="str">
        <v>Robert Jordan</v>
      </c>
      <c r="B318" t="str">
        <f>books!B312</f>
        <v>Kathryn Stockett</v>
      </c>
      <c r="C318">
        <v>9</v>
      </c>
    </row>
    <row r="319" spans="1:61" x14ac:dyDescent="0.35">
      <c r="A319" t="str">
        <v>Ann Rinaldi</v>
      </c>
      <c r="B319" t="str">
        <f>books!B313</f>
        <v>Candice Millard</v>
      </c>
      <c r="C319">
        <v>10</v>
      </c>
    </row>
    <row r="320" spans="1:61" x14ac:dyDescent="0.35">
      <c r="A320" t="str">
        <v>Richard and Florence Atwater</v>
      </c>
      <c r="B320" t="str">
        <f>books!B314</f>
        <v>Nella Larson</v>
      </c>
      <c r="C320">
        <v>9</v>
      </c>
    </row>
    <row r="321" spans="1:6" x14ac:dyDescent="0.35">
      <c r="A321" t="str">
        <v>Paul Fleischman</v>
      </c>
      <c r="B321" t="str">
        <f>books!B315</f>
        <v>William Goldman</v>
      </c>
      <c r="C321">
        <v>8</v>
      </c>
    </row>
    <row r="322" spans="1:6" x14ac:dyDescent="0.35">
      <c r="A322" t="str">
        <v>John Layman</v>
      </c>
      <c r="B322" t="str">
        <f>books!B316</f>
        <v>Daniel Gage</v>
      </c>
      <c r="C322">
        <v>7</v>
      </c>
    </row>
    <row r="323" spans="1:6" x14ac:dyDescent="0.35">
      <c r="A323" t="str">
        <v>William Cronon</v>
      </c>
      <c r="B323" t="str">
        <f>books!B317</f>
        <v>Norton Juster</v>
      </c>
      <c r="C323">
        <v>10</v>
      </c>
    </row>
    <row r="324" spans="1:6" x14ac:dyDescent="0.35">
      <c r="A324" t="str">
        <v>Javier Auyero</v>
      </c>
      <c r="B324" t="str">
        <f>books!B318</f>
        <v>Robert Jordan</v>
      </c>
      <c r="C324">
        <v>8</v>
      </c>
    </row>
    <row r="325" spans="1:6" x14ac:dyDescent="0.35">
      <c r="A325" t="str">
        <v>Celia Applegate and Pamela Potter</v>
      </c>
      <c r="B325" t="str">
        <f>books!B319</f>
        <v>Ann Rinaldi</v>
      </c>
      <c r="C325">
        <v>7</v>
      </c>
    </row>
    <row r="326" spans="1:6" x14ac:dyDescent="0.35">
      <c r="A326" t="str">
        <v>Gordon Craig</v>
      </c>
      <c r="B326" t="str">
        <f>books!B320</f>
        <v>Richard and Florence Atwater</v>
      </c>
      <c r="C326">
        <v>9</v>
      </c>
    </row>
    <row r="327" spans="1:6" x14ac:dyDescent="0.35">
      <c r="A327" t="str">
        <v>Michael Kater</v>
      </c>
      <c r="B327" t="str">
        <f>books!B321</f>
        <v>Paul Fleischman</v>
      </c>
      <c r="C327">
        <v>7</v>
      </c>
    </row>
    <row r="328" spans="1:6" x14ac:dyDescent="0.35">
      <c r="A328" t="str">
        <v>Rebecca Oettinger</v>
      </c>
      <c r="B328" t="str">
        <f>books!B322</f>
        <v>John Layman</v>
      </c>
      <c r="C328">
        <v>8</v>
      </c>
    </row>
    <row r="329" spans="1:6" x14ac:dyDescent="0.35">
      <c r="A329" t="str">
        <v>Uwe Schutt</v>
      </c>
      <c r="B329" t="str">
        <f>books!B323</f>
        <v>William Cronon</v>
      </c>
      <c r="C329">
        <v>7</v>
      </c>
    </row>
    <row r="330" spans="1:6" x14ac:dyDescent="0.35">
      <c r="A330" t="str">
        <v>William Shakespeare</v>
      </c>
      <c r="B330" t="str">
        <f>books!B324</f>
        <v>Javier Auyero</v>
      </c>
      <c r="C330">
        <v>9</v>
      </c>
      <c r="D330">
        <v>9</v>
      </c>
      <c r="E330">
        <v>6</v>
      </c>
      <c r="F330">
        <v>8</v>
      </c>
    </row>
    <row r="331" spans="1:6" x14ac:dyDescent="0.35">
      <c r="A331" t="str">
        <v>Jean Merrill</v>
      </c>
      <c r="B331" t="str">
        <f>books!B325</f>
        <v>Celia Applegate and Pamela Potter</v>
      </c>
      <c r="C331">
        <v>9</v>
      </c>
    </row>
    <row r="332" spans="1:6" x14ac:dyDescent="0.35">
      <c r="A332" t="str">
        <v>David Blight</v>
      </c>
      <c r="B332" t="str">
        <f>books!B326</f>
        <v>Gordon Craig</v>
      </c>
      <c r="C332">
        <v>7</v>
      </c>
    </row>
    <row r="333" spans="1:6" x14ac:dyDescent="0.35">
      <c r="A333" t="str">
        <v>Alexander Hamilton, James Madison, and John Jay</v>
      </c>
      <c r="B333" t="str">
        <f>books!B327</f>
        <v>Michael Kater</v>
      </c>
      <c r="C333">
        <v>9</v>
      </c>
    </row>
    <row r="334" spans="1:6" x14ac:dyDescent="0.35">
      <c r="A334" t="str">
        <v>Nathan Pyle</v>
      </c>
      <c r="B334" t="str">
        <f>books!B328</f>
        <v>Rebecca Oettinger</v>
      </c>
      <c r="C334">
        <v>10</v>
      </c>
    </row>
    <row r="335" spans="1:6" x14ac:dyDescent="0.35">
      <c r="A335" t="str">
        <v>Ishmael Beah</v>
      </c>
      <c r="B335" t="str">
        <f>books!B329</f>
        <v>Uwe Schutt</v>
      </c>
      <c r="C335">
        <v>10</v>
      </c>
    </row>
    <row r="336" spans="1:6" x14ac:dyDescent="0.35">
      <c r="A336" t="str">
        <v>Naomi Benaron</v>
      </c>
      <c r="B336" t="str">
        <f>books!B330</f>
        <v>William Shakespeare</v>
      </c>
      <c r="C336">
        <v>10</v>
      </c>
    </row>
    <row r="337" spans="1:7" x14ac:dyDescent="0.35">
      <c r="A337" t="str">
        <v>Thomas Mann</v>
      </c>
      <c r="B337" t="str">
        <f>books!B331</f>
        <v>Jean Merrill</v>
      </c>
      <c r="C337">
        <v>4</v>
      </c>
    </row>
    <row r="338" spans="1:7" x14ac:dyDescent="0.35">
      <c r="A338" t="str">
        <v>Bertold Brecht</v>
      </c>
      <c r="B338" t="str">
        <f>books!B332</f>
        <v>David Blight</v>
      </c>
      <c r="C338">
        <v>6</v>
      </c>
      <c r="D338">
        <v>8</v>
      </c>
    </row>
    <row r="339" spans="1:7" x14ac:dyDescent="0.35">
      <c r="A339" t="str">
        <v>Ludwig Tieck</v>
      </c>
      <c r="B339" t="str">
        <f>books!B333</f>
        <v>Alexander Hamilton, James Madison, and John Jay</v>
      </c>
      <c r="C339">
        <v>6</v>
      </c>
    </row>
    <row r="340" spans="1:7" x14ac:dyDescent="0.35">
      <c r="A340" t="str">
        <v>Obert Skye</v>
      </c>
      <c r="B340" t="str">
        <f>books!B334</f>
        <v>Nathan Pyle</v>
      </c>
      <c r="C340">
        <v>10</v>
      </c>
      <c r="D340">
        <v>9</v>
      </c>
      <c r="E340">
        <v>9</v>
      </c>
      <c r="F340">
        <v>9</v>
      </c>
      <c r="G340">
        <v>9</v>
      </c>
    </row>
    <row r="341" spans="1:7" x14ac:dyDescent="0.35">
      <c r="A341" t="str">
        <v>Kat Falls</v>
      </c>
      <c r="B341" t="str">
        <f>books!B335</f>
        <v>Ishmael Beah</v>
      </c>
      <c r="C341">
        <v>8</v>
      </c>
    </row>
    <row r="342" spans="1:7" x14ac:dyDescent="0.35">
      <c r="A342" t="str">
        <v>Michael Chabon</v>
      </c>
      <c r="B342" t="str">
        <f>books!B336</f>
        <v>Naomi Benaron</v>
      </c>
      <c r="C342">
        <v>6</v>
      </c>
    </row>
    <row r="343" spans="1:7" x14ac:dyDescent="0.35">
      <c r="A343" t="str">
        <v>Zizu Corder</v>
      </c>
      <c r="B343" t="e">
        <f>books!#REF!</f>
        <v>#REF!</v>
      </c>
      <c r="C343">
        <v>10</v>
      </c>
    </row>
    <row r="344" spans="1:7" x14ac:dyDescent="0.35">
      <c r="A344" t="str">
        <v>Jane Smiley</v>
      </c>
      <c r="B344" t="str">
        <f>books!B337</f>
        <v>Thomas Mann</v>
      </c>
      <c r="C344">
        <v>9</v>
      </c>
    </row>
    <row r="345" spans="1:7" x14ac:dyDescent="0.35">
      <c r="A345" t="str">
        <v>Claude Steele</v>
      </c>
      <c r="B345" t="str">
        <f>books!B338</f>
        <v>Bertold Brecht</v>
      </c>
      <c r="C345">
        <v>9</v>
      </c>
    </row>
    <row r="346" spans="1:7" x14ac:dyDescent="0.35">
      <c r="A346" t="str">
        <v>Anthony Greenwald and Mahzarin Banaji</v>
      </c>
      <c r="B346" t="str">
        <f>books!B339</f>
        <v>Ludwig Tieck</v>
      </c>
      <c r="C346">
        <v>8</v>
      </c>
    </row>
    <row r="347" spans="1:7" x14ac:dyDescent="0.35">
      <c r="A347" t="str">
        <v>William Forstchen</v>
      </c>
      <c r="B347" t="str">
        <f>books!B340</f>
        <v>Obert Skye</v>
      </c>
      <c r="C347">
        <v>9</v>
      </c>
    </row>
    <row r="348" spans="1:7" x14ac:dyDescent="0.35">
      <c r="A348" t="str">
        <v>David Montgomery</v>
      </c>
      <c r="B348" t="str">
        <f>books!B341</f>
        <v>Kat Falls</v>
      </c>
      <c r="C348">
        <v>8</v>
      </c>
    </row>
    <row r="349" spans="1:7" x14ac:dyDescent="0.35">
      <c r="A349" t="str">
        <v>Peter Zeihan</v>
      </c>
      <c r="B349" t="str">
        <f>books!B342</f>
        <v>Michael Chabon</v>
      </c>
      <c r="C349">
        <v>9</v>
      </c>
    </row>
    <row r="350" spans="1:7" x14ac:dyDescent="0.35">
      <c r="A350" t="str">
        <v>Todd Strasser</v>
      </c>
      <c r="B350" t="str">
        <f>books!B343</f>
        <v>Zizu Corder</v>
      </c>
      <c r="C350">
        <v>7</v>
      </c>
    </row>
    <row r="351" spans="1:7" x14ac:dyDescent="0.35">
      <c r="A351" t="str">
        <v>G.E. Lessing</v>
      </c>
      <c r="B351" t="str">
        <f>books!B344</f>
        <v>Jane Smiley</v>
      </c>
      <c r="C351">
        <v>7</v>
      </c>
    </row>
    <row r="352" spans="1:7" x14ac:dyDescent="0.35">
      <c r="A352" t="str">
        <v>Dave Eggers</v>
      </c>
      <c r="B352" t="str">
        <f>books!B345</f>
        <v>Claude Steele</v>
      </c>
      <c r="C352">
        <v>9</v>
      </c>
    </row>
    <row r="353" spans="1:5" x14ac:dyDescent="0.35">
      <c r="A353" t="str">
        <v>Min Jin Lee</v>
      </c>
      <c r="B353" t="str">
        <f>books!B346</f>
        <v>Anthony Greenwald and Mahzarin Banaji</v>
      </c>
      <c r="C353">
        <v>10</v>
      </c>
    </row>
    <row r="354" spans="1:5" x14ac:dyDescent="0.35">
      <c r="A354" t="str">
        <v>Roger Daniels</v>
      </c>
      <c r="B354" t="str">
        <f>books!B347</f>
        <v>William Forstchen</v>
      </c>
      <c r="C354">
        <v>4</v>
      </c>
    </row>
    <row r="355" spans="1:5" x14ac:dyDescent="0.35">
      <c r="A355" t="str">
        <v>Jim Fergus</v>
      </c>
      <c r="B355" t="str">
        <f>books!B348</f>
        <v>David Montgomery</v>
      </c>
      <c r="C355">
        <v>1</v>
      </c>
    </row>
    <row r="356" spans="1:5" x14ac:dyDescent="0.35">
      <c r="A356" t="str">
        <v>Simon Elegant</v>
      </c>
      <c r="B356" t="str">
        <f>books!B349</f>
        <v>Peter Zeihan</v>
      </c>
      <c r="C356">
        <v>6</v>
      </c>
    </row>
    <row r="357" spans="1:5" x14ac:dyDescent="0.35">
      <c r="A357" t="str">
        <v>Heather Morris</v>
      </c>
      <c r="B357" t="str">
        <f>books!B350</f>
        <v>Todd Strasser</v>
      </c>
      <c r="C357">
        <v>5</v>
      </c>
    </row>
    <row r="358" spans="1:5" x14ac:dyDescent="0.35">
      <c r="A358" t="str">
        <v>Lauren Groff</v>
      </c>
      <c r="B358" t="str">
        <f>books!B351</f>
        <v>G.E. Lessing</v>
      </c>
      <c r="C358">
        <v>8</v>
      </c>
      <c r="D358">
        <v>6</v>
      </c>
    </row>
    <row r="359" spans="1:5" x14ac:dyDescent="0.35">
      <c r="A359" t="str">
        <v>Susan Powers</v>
      </c>
      <c r="B359" t="str">
        <f>books!B352</f>
        <v>Dave Eggers</v>
      </c>
      <c r="C359">
        <v>10</v>
      </c>
    </row>
    <row r="360" spans="1:5" x14ac:dyDescent="0.35">
      <c r="A360" t="str">
        <v>David Jeremiah</v>
      </c>
      <c r="B360" t="str">
        <f>books!B353</f>
        <v>Min Jin Lee</v>
      </c>
      <c r="C360">
        <v>7</v>
      </c>
    </row>
    <row r="361" spans="1:5" x14ac:dyDescent="0.35">
      <c r="A361" t="str">
        <v>Radley Balko</v>
      </c>
      <c r="B361" t="str">
        <f>books!B354</f>
        <v>Roger Daniels</v>
      </c>
      <c r="C361">
        <v>8</v>
      </c>
    </row>
    <row r="362" spans="1:5" x14ac:dyDescent="0.35">
      <c r="A362" t="str">
        <v>Chinua Achebe</v>
      </c>
      <c r="B362" t="str">
        <f>books!B355</f>
        <v>Jim Fergus</v>
      </c>
      <c r="C362">
        <v>10</v>
      </c>
      <c r="D362">
        <v>10</v>
      </c>
      <c r="E362">
        <v>10</v>
      </c>
    </row>
    <row r="363" spans="1:5" x14ac:dyDescent="0.35">
      <c r="A363" t="str">
        <v>Ben Goldfarb</v>
      </c>
      <c r="B363" t="str">
        <f>books!B356</f>
        <v>Simon Elegant</v>
      </c>
      <c r="C363">
        <v>10</v>
      </c>
    </row>
    <row r="364" spans="1:5" x14ac:dyDescent="0.35">
      <c r="A364" t="str">
        <v>Akwaeke Emezi</v>
      </c>
      <c r="B364" t="str">
        <f>books!B357</f>
        <v>Heather Morris</v>
      </c>
      <c r="C364">
        <v>10</v>
      </c>
    </row>
    <row r="365" spans="1:5" x14ac:dyDescent="0.35">
      <c r="A365" t="str">
        <v>Ken Follette</v>
      </c>
      <c r="B365" t="str">
        <f>books!B358</f>
        <v>Lauren Groff</v>
      </c>
      <c r="C365">
        <v>10</v>
      </c>
    </row>
    <row r="366" spans="1:5" x14ac:dyDescent="0.35">
      <c r="A366" t="str">
        <v>Sundee Tucker Frazier</v>
      </c>
      <c r="B366" t="str">
        <f>books!B359</f>
        <v>Susan Powers</v>
      </c>
      <c r="C366">
        <v>9</v>
      </c>
    </row>
    <row r="367" spans="1:5" x14ac:dyDescent="0.35">
      <c r="A367" t="str">
        <v>Kim Tallbear</v>
      </c>
      <c r="B367" t="str">
        <f>books!B360</f>
        <v>David Jeremiah</v>
      </c>
      <c r="C367">
        <v>8</v>
      </c>
    </row>
    <row r="368" spans="1:5" x14ac:dyDescent="0.35">
      <c r="A368" t="str">
        <v>Ted Dekker</v>
      </c>
      <c r="B368" t="str">
        <f>books!B361</f>
        <v>Radley Balko</v>
      </c>
      <c r="C368">
        <v>8</v>
      </c>
      <c r="D368">
        <v>8</v>
      </c>
      <c r="E368">
        <v>8</v>
      </c>
    </row>
    <row r="369" spans="1:3" x14ac:dyDescent="0.35">
      <c r="A369" t="str">
        <v>Paul Sorrentino</v>
      </c>
      <c r="B369" t="str">
        <f>books!B362</f>
        <v>Chinua Achebe</v>
      </c>
      <c r="C369">
        <v>7</v>
      </c>
    </row>
    <row r="370" spans="1:3" x14ac:dyDescent="0.35">
      <c r="A370" t="str">
        <v>Claudio Saunt</v>
      </c>
      <c r="B370" t="str">
        <f>books!B363</f>
        <v>Ben Goldfarb</v>
      </c>
      <c r="C370">
        <v>8</v>
      </c>
    </row>
    <row r="371" spans="1:3" x14ac:dyDescent="0.35">
      <c r="A371" t="str">
        <v>Sofía Segovia</v>
      </c>
      <c r="B371" t="str">
        <f>books!B364</f>
        <v>Akwaeke Emezi</v>
      </c>
      <c r="C371">
        <v>10</v>
      </c>
    </row>
    <row r="372" spans="1:3" x14ac:dyDescent="0.35">
      <c r="A372" t="str">
        <v>Gerald M. Sider</v>
      </c>
      <c r="B372" t="str">
        <f>books!B365</f>
        <v>Ken Follette</v>
      </c>
      <c r="C372">
        <v>7</v>
      </c>
    </row>
    <row r="373" spans="1:3" x14ac:dyDescent="0.35">
      <c r="A373" t="str">
        <v>Tony Danza</v>
      </c>
      <c r="B373" t="str">
        <f>books!B366</f>
        <v>Sundee Tucker Frazier</v>
      </c>
      <c r="C373">
        <v>9</v>
      </c>
    </row>
    <row r="374" spans="1:3" x14ac:dyDescent="0.35">
      <c r="A374" t="str">
        <v>Thanhha Lai</v>
      </c>
      <c r="B374" t="str">
        <f>books!B367</f>
        <v>Kim Tallbear</v>
      </c>
      <c r="C374">
        <v>8</v>
      </c>
    </row>
    <row r="375" spans="1:3" x14ac:dyDescent="0.35">
      <c r="A375" t="str">
        <v>Robin Wall Kimmerer</v>
      </c>
      <c r="B375" t="str">
        <f>books!B368</f>
        <v>Ted Dekker</v>
      </c>
      <c r="C375">
        <v>10</v>
      </c>
    </row>
    <row r="376" spans="1:3" x14ac:dyDescent="0.35">
      <c r="A376" t="str">
        <v>Dana Czapnik</v>
      </c>
      <c r="B376" t="str">
        <f>books!B369</f>
        <v>Paul Sorrentino</v>
      </c>
      <c r="C376">
        <v>8</v>
      </c>
    </row>
    <row r="377" spans="1:3" x14ac:dyDescent="0.35">
      <c r="A377" t="str">
        <v>Lynda Mullaly Hunt</v>
      </c>
      <c r="B377" t="str">
        <f>books!B370</f>
        <v>Claudio Saunt</v>
      </c>
      <c r="C377">
        <v>8</v>
      </c>
    </row>
    <row r="378" spans="1:3" x14ac:dyDescent="0.35">
      <c r="A378" t="str">
        <v>Mitali Perkins</v>
      </c>
      <c r="B378" t="str">
        <f>books!B371</f>
        <v>Sofía Segovia</v>
      </c>
      <c r="C378">
        <v>7</v>
      </c>
    </row>
    <row r="379" spans="1:3" x14ac:dyDescent="0.35">
      <c r="A379" t="str">
        <v>Shanthi Sekaran</v>
      </c>
      <c r="B379" t="str">
        <f>books!B372</f>
        <v>Gerald M. Sider</v>
      </c>
      <c r="C379">
        <v>10</v>
      </c>
    </row>
    <row r="380" spans="1:3" x14ac:dyDescent="0.35">
      <c r="A380" t="str">
        <v>Khary Polk</v>
      </c>
      <c r="B380" t="str">
        <f>books!B373</f>
        <v>Tony Danza</v>
      </c>
      <c r="C380">
        <v>7</v>
      </c>
    </row>
    <row r="381" spans="1:3" x14ac:dyDescent="0.35">
      <c r="A381" t="str">
        <v>Axie Oh</v>
      </c>
      <c r="B381" t="str">
        <f>books!B374</f>
        <v>Thanhha Lai</v>
      </c>
      <c r="C381">
        <v>7</v>
      </c>
    </row>
    <row r="382" spans="1:3" x14ac:dyDescent="0.35">
      <c r="A382" t="str">
        <v>Michael Korda</v>
      </c>
      <c r="B382" t="str">
        <f>books!B375</f>
        <v>Robin Wall Kimmerer</v>
      </c>
      <c r="C382">
        <v>9</v>
      </c>
    </row>
    <row r="383" spans="1:3" x14ac:dyDescent="0.35">
      <c r="A383" t="str">
        <v>Ray Bradbury</v>
      </c>
      <c r="B383" t="str">
        <f>books!B376</f>
        <v>Dana Czapnik</v>
      </c>
      <c r="C383">
        <v>10</v>
      </c>
    </row>
    <row r="384" spans="1:3" x14ac:dyDescent="0.35">
      <c r="A384" t="str">
        <v>Kirk Mitchell</v>
      </c>
      <c r="B384" t="str">
        <f>books!B377</f>
        <v>Lynda Mullaly Hunt</v>
      </c>
      <c r="C384">
        <v>7</v>
      </c>
    </row>
    <row r="385" spans="1:11" x14ac:dyDescent="0.35">
      <c r="A385" t="str">
        <v>Joseph Campbell</v>
      </c>
      <c r="B385" t="str">
        <f>books!B378</f>
        <v>Mitali Perkins</v>
      </c>
      <c r="C385">
        <v>4</v>
      </c>
    </row>
    <row r="386" spans="1:11" x14ac:dyDescent="0.35">
      <c r="A386" t="str">
        <v>Anne Fadiman</v>
      </c>
      <c r="B386" t="str">
        <f>books!B379</f>
        <v>Shanthi Sekaran</v>
      </c>
      <c r="C386">
        <v>10</v>
      </c>
    </row>
    <row r="387" spans="1:11" x14ac:dyDescent="0.35">
      <c r="A387" t="str">
        <v>Zora Hurston</v>
      </c>
      <c r="B387" t="str">
        <f>books!B380</f>
        <v>Khary Polk</v>
      </c>
      <c r="C387">
        <v>10</v>
      </c>
    </row>
    <row r="388" spans="1:11" x14ac:dyDescent="0.35">
      <c r="A388" t="str">
        <v>Chimamanda Ngozi Adichie</v>
      </c>
      <c r="B388" t="str">
        <f>books!B381</f>
        <v>Axie Oh</v>
      </c>
      <c r="C388">
        <v>9</v>
      </c>
    </row>
    <row r="389" spans="1:11" x14ac:dyDescent="0.35">
      <c r="A389" t="str">
        <v>Ted Chiang</v>
      </c>
      <c r="B389" t="str">
        <f>books!B382</f>
        <v>Michael Korda</v>
      </c>
      <c r="C389">
        <v>9</v>
      </c>
      <c r="D389">
        <v>10</v>
      </c>
      <c r="E389">
        <v>10</v>
      </c>
      <c r="F389">
        <v>8</v>
      </c>
      <c r="G389">
        <v>7</v>
      </c>
      <c r="H389">
        <v>8</v>
      </c>
      <c r="I389">
        <v>6</v>
      </c>
      <c r="J389">
        <v>9</v>
      </c>
      <c r="K389">
        <v>8</v>
      </c>
    </row>
    <row r="390" spans="1:11" x14ac:dyDescent="0.35">
      <c r="A390" t="str">
        <v>Joseph Murphy</v>
      </c>
      <c r="B390" t="str">
        <f>books!B383</f>
        <v>Ray Bradbury</v>
      </c>
      <c r="C390">
        <v>6</v>
      </c>
    </row>
    <row r="391" spans="1:11" x14ac:dyDescent="0.35">
      <c r="A391" t="str">
        <v>Olaudah Equiano</v>
      </c>
      <c r="B391" t="str">
        <f>books!B384</f>
        <v>Kirk Mitchell</v>
      </c>
      <c r="C391">
        <v>9</v>
      </c>
    </row>
    <row r="392" spans="1:11" x14ac:dyDescent="0.35">
      <c r="A392" t="str">
        <v>Mary Prince</v>
      </c>
      <c r="B392" t="str">
        <f>books!B385</f>
        <v>Joseph Campbell</v>
      </c>
      <c r="C392">
        <v>7</v>
      </c>
    </row>
    <row r="393" spans="1:11" x14ac:dyDescent="0.35">
      <c r="A393" t="str">
        <v>Louis Asa-Asa</v>
      </c>
      <c r="B393" t="str">
        <f>books!B386</f>
        <v>Anne Fadiman</v>
      </c>
      <c r="C393">
        <v>6</v>
      </c>
    </row>
    <row r="394" spans="1:11" x14ac:dyDescent="0.35">
      <c r="A394" t="str">
        <v>Frederick Douglass</v>
      </c>
      <c r="B394" t="str">
        <f>books!B387</f>
        <v>Zora Hurston</v>
      </c>
      <c r="C394">
        <v>7</v>
      </c>
    </row>
    <row r="395" spans="1:11" x14ac:dyDescent="0.35">
      <c r="A395" t="str">
        <v>Harriet Jacobs</v>
      </c>
      <c r="B395" t="str">
        <f>books!B388</f>
        <v>Chimamanda Ngozi Adichie</v>
      </c>
      <c r="C395">
        <v>7</v>
      </c>
    </row>
    <row r="396" spans="1:11" x14ac:dyDescent="0.35">
      <c r="A396" t="str">
        <v>Aneeka Ayanna Henderson</v>
      </c>
      <c r="B396" t="str">
        <f>books!B389</f>
        <v>Ted Chiang</v>
      </c>
      <c r="C396">
        <v>5</v>
      </c>
    </row>
    <row r="397" spans="1:11" x14ac:dyDescent="0.35">
      <c r="A397" t="str">
        <v>Sonya Sotomayor</v>
      </c>
      <c r="B397" t="str">
        <f>books!B390</f>
        <v>Joseph Murphy</v>
      </c>
      <c r="C397">
        <v>8</v>
      </c>
    </row>
    <row r="398" spans="1:11" x14ac:dyDescent="0.35">
      <c r="A398" t="str">
        <v>James Kahn</v>
      </c>
      <c r="B398" t="str">
        <f>books!B391</f>
        <v>Olaudah Equiano</v>
      </c>
      <c r="C398">
        <v>4</v>
      </c>
    </row>
    <row r="399" spans="1:11" x14ac:dyDescent="0.35">
      <c r="A399" t="str">
        <v>George Lucas</v>
      </c>
      <c r="B399" t="str">
        <f>books!B392</f>
        <v>Mary Prince</v>
      </c>
      <c r="C399">
        <v>4</v>
      </c>
    </row>
    <row r="400" spans="1:11" x14ac:dyDescent="0.35">
      <c r="A400" t="str">
        <v>Sebastian Junger</v>
      </c>
      <c r="B400" t="str">
        <f>books!B393</f>
        <v>Louis Asa-Asa</v>
      </c>
      <c r="C400">
        <v>9</v>
      </c>
    </row>
    <row r="401" spans="1:4" x14ac:dyDescent="0.35">
      <c r="A401" t="str">
        <v>J. Frank Dobie</v>
      </c>
      <c r="B401" t="str">
        <f>books!B394</f>
        <v>Frederick Douglass</v>
      </c>
      <c r="C401">
        <v>9</v>
      </c>
    </row>
    <row r="402" spans="1:4" x14ac:dyDescent="0.35">
      <c r="A402" t="str">
        <v>Andrew Murray</v>
      </c>
      <c r="B402" t="str">
        <f>books!B395</f>
        <v>Harriet Jacobs</v>
      </c>
      <c r="C402">
        <v>8</v>
      </c>
    </row>
    <row r="403" spans="1:4" x14ac:dyDescent="0.35">
      <c r="A403" t="str">
        <v>Thomas Brussig</v>
      </c>
      <c r="B403" t="str">
        <f>books!B396</f>
        <v>Aneeka Ayanna Henderson</v>
      </c>
      <c r="C403">
        <v>8</v>
      </c>
    </row>
    <row r="404" spans="1:4" x14ac:dyDescent="0.35">
      <c r="A404" t="str">
        <v>Carolyn Merchant</v>
      </c>
      <c r="B404" t="str">
        <f>books!B397</f>
        <v>Sonya Sotomayor</v>
      </c>
      <c r="C404">
        <v>4</v>
      </c>
    </row>
    <row r="405" spans="1:4" x14ac:dyDescent="0.35">
      <c r="A405" t="str">
        <v>Barak Obama</v>
      </c>
      <c r="B405" t="str">
        <f>books!B398</f>
        <v>James Kahn</v>
      </c>
      <c r="C405">
        <v>8</v>
      </c>
    </row>
    <row r="406" spans="1:4" x14ac:dyDescent="0.35">
      <c r="A406" t="str">
        <v>Raymond Friday Locke</v>
      </c>
      <c r="B406" t="str">
        <f>books!B399</f>
        <v>George Lucas</v>
      </c>
      <c r="C406">
        <v>9</v>
      </c>
    </row>
    <row r="407" spans="1:4" x14ac:dyDescent="0.35">
      <c r="A407" t="str">
        <v>Jack Thorne</v>
      </c>
      <c r="B407">
        <f>books!B597</f>
        <v>0</v>
      </c>
      <c r="C407">
        <v>7</v>
      </c>
    </row>
    <row r="408" spans="1:4" x14ac:dyDescent="0.35">
      <c r="A408" t="str">
        <v>Monica Furlong</v>
      </c>
      <c r="B408">
        <f>books!B598</f>
        <v>0</v>
      </c>
      <c r="C408">
        <v>10</v>
      </c>
    </row>
    <row r="409" spans="1:4" x14ac:dyDescent="0.35">
      <c r="A409" t="str">
        <v>Malcom Gladwell</v>
      </c>
      <c r="B409">
        <f>books!B599</f>
        <v>0</v>
      </c>
      <c r="C409">
        <v>9</v>
      </c>
      <c r="D409">
        <v>9</v>
      </c>
    </row>
    <row r="410" spans="1:4" x14ac:dyDescent="0.35">
      <c r="A410" t="str">
        <v>Richard Wright</v>
      </c>
      <c r="B410">
        <f>books!B600</f>
        <v>0</v>
      </c>
      <c r="C410">
        <v>10</v>
      </c>
    </row>
    <row r="411" spans="1:4" x14ac:dyDescent="0.35">
      <c r="A411" t="str">
        <v>Anthony Burgess</v>
      </c>
      <c r="B411">
        <f>books!B601</f>
        <v>0</v>
      </c>
      <c r="C411">
        <v>7</v>
      </c>
    </row>
    <row r="412" spans="1:4" x14ac:dyDescent="0.35">
      <c r="A412" t="str">
        <v>Patricia Highsmith</v>
      </c>
      <c r="B412">
        <f>books!B602</f>
        <v>0</v>
      </c>
      <c r="C412">
        <v>10</v>
      </c>
    </row>
    <row r="413" spans="1:4" x14ac:dyDescent="0.35">
      <c r="A413" t="str">
        <v>Stieg Larsson</v>
      </c>
      <c r="B413">
        <f>books!B603</f>
        <v>0</v>
      </c>
      <c r="C413">
        <v>9</v>
      </c>
    </row>
    <row r="414" spans="1:4" x14ac:dyDescent="0.35">
      <c r="A414" t="str">
        <v>Erik Svensson</v>
      </c>
      <c r="B414">
        <f>books!B604</f>
        <v>0</v>
      </c>
      <c r="C414">
        <v>7</v>
      </c>
    </row>
    <row r="415" spans="1:4" x14ac:dyDescent="0.35">
      <c r="A415" t="str">
        <v>Kevin Simler, Robin Hanson</v>
      </c>
      <c r="B415">
        <f>books!B605</f>
        <v>0</v>
      </c>
      <c r="C415">
        <v>10</v>
      </c>
    </row>
    <row r="416" spans="1:4" x14ac:dyDescent="0.35">
      <c r="A416" t="str">
        <v>William Golding</v>
      </c>
      <c r="B416">
        <f>books!B606</f>
        <v>0</v>
      </c>
      <c r="C416">
        <v>9</v>
      </c>
    </row>
    <row r="417" spans="1:2" x14ac:dyDescent="0.35">
      <c r="A417">
        <v>0</v>
      </c>
      <c r="B417">
        <f>books!B607</f>
        <v>0</v>
      </c>
    </row>
    <row r="418" spans="1:2" x14ac:dyDescent="0.35">
      <c r="B418">
        <f>books!B608</f>
        <v>0</v>
      </c>
    </row>
    <row r="419" spans="1:2" x14ac:dyDescent="0.35">
      <c r="B419">
        <f>books!B609</f>
        <v>0</v>
      </c>
    </row>
    <row r="420" spans="1:2" x14ac:dyDescent="0.35">
      <c r="B420">
        <f>books!B610</f>
        <v>0</v>
      </c>
    </row>
    <row r="421" spans="1:2" x14ac:dyDescent="0.35">
      <c r="B421">
        <f>books!B611</f>
        <v>0</v>
      </c>
    </row>
    <row r="422" spans="1:2" x14ac:dyDescent="0.35">
      <c r="B422">
        <f>books!B612</f>
        <v>0</v>
      </c>
    </row>
    <row r="423" spans="1:2" x14ac:dyDescent="0.35">
      <c r="B423">
        <f>books!B613</f>
        <v>0</v>
      </c>
    </row>
    <row r="424" spans="1:2" x14ac:dyDescent="0.35">
      <c r="B424">
        <f>books!B614</f>
        <v>0</v>
      </c>
    </row>
    <row r="425" spans="1:2" x14ac:dyDescent="0.35">
      <c r="B425">
        <f>books!B615</f>
        <v>0</v>
      </c>
    </row>
    <row r="426" spans="1:2" x14ac:dyDescent="0.35">
      <c r="B426">
        <f>books!B616</f>
        <v>0</v>
      </c>
    </row>
    <row r="427" spans="1:2" x14ac:dyDescent="0.35">
      <c r="B427">
        <f>books!B617</f>
        <v>0</v>
      </c>
    </row>
    <row r="428" spans="1:2" x14ac:dyDescent="0.35">
      <c r="B428">
        <f>books!B618</f>
        <v>0</v>
      </c>
    </row>
    <row r="429" spans="1:2" x14ac:dyDescent="0.35">
      <c r="B429">
        <f>books!B619</f>
        <v>0</v>
      </c>
    </row>
    <row r="430" spans="1:2" x14ac:dyDescent="0.35">
      <c r="B430">
        <f>books!B620</f>
        <v>0</v>
      </c>
    </row>
    <row r="431" spans="1:2" x14ac:dyDescent="0.35">
      <c r="B431">
        <f>books!B621</f>
        <v>0</v>
      </c>
    </row>
    <row r="432" spans="1:2" x14ac:dyDescent="0.35">
      <c r="B432">
        <f>books!B622</f>
        <v>0</v>
      </c>
    </row>
    <row r="433" spans="2:2" x14ac:dyDescent="0.35">
      <c r="B433">
        <f>books!B623</f>
        <v>0</v>
      </c>
    </row>
    <row r="434" spans="2:2" x14ac:dyDescent="0.35">
      <c r="B434">
        <f>books!B624</f>
        <v>0</v>
      </c>
    </row>
    <row r="435" spans="2:2" x14ac:dyDescent="0.35">
      <c r="B435">
        <f>books!B625</f>
        <v>0</v>
      </c>
    </row>
    <row r="436" spans="2:2" x14ac:dyDescent="0.35">
      <c r="B436">
        <f>books!B626</f>
        <v>0</v>
      </c>
    </row>
    <row r="437" spans="2:2" x14ac:dyDescent="0.35">
      <c r="B437">
        <f>books!B627</f>
        <v>0</v>
      </c>
    </row>
    <row r="438" spans="2:2" x14ac:dyDescent="0.35">
      <c r="B438">
        <f>books!B628</f>
        <v>0</v>
      </c>
    </row>
    <row r="439" spans="2:2" x14ac:dyDescent="0.35">
      <c r="B439">
        <f>books!B629</f>
        <v>0</v>
      </c>
    </row>
    <row r="440" spans="2:2" x14ac:dyDescent="0.35">
      <c r="B440">
        <f>books!B630</f>
        <v>0</v>
      </c>
    </row>
    <row r="441" spans="2:2" x14ac:dyDescent="0.35">
      <c r="B441">
        <f>books!B631</f>
        <v>0</v>
      </c>
    </row>
    <row r="442" spans="2:2" x14ac:dyDescent="0.35">
      <c r="B442">
        <f>books!B632</f>
        <v>0</v>
      </c>
    </row>
    <row r="443" spans="2:2" x14ac:dyDescent="0.35">
      <c r="B443">
        <f>books!B633</f>
        <v>0</v>
      </c>
    </row>
    <row r="444" spans="2:2" x14ac:dyDescent="0.35">
      <c r="B444">
        <f>books!B634</f>
        <v>0</v>
      </c>
    </row>
    <row r="445" spans="2:2" x14ac:dyDescent="0.35">
      <c r="B445">
        <f>books!B635</f>
        <v>0</v>
      </c>
    </row>
    <row r="446" spans="2:2" x14ac:dyDescent="0.35">
      <c r="B446">
        <f>books!B636</f>
        <v>0</v>
      </c>
    </row>
    <row r="447" spans="2:2" x14ac:dyDescent="0.35">
      <c r="B447">
        <f>books!B637</f>
        <v>0</v>
      </c>
    </row>
    <row r="448" spans="2:2" x14ac:dyDescent="0.35">
      <c r="B448">
        <f>books!B638</f>
        <v>0</v>
      </c>
    </row>
    <row r="449" spans="2:2" x14ac:dyDescent="0.35">
      <c r="B449">
        <f>books!B639</f>
        <v>0</v>
      </c>
    </row>
    <row r="450" spans="2:2" x14ac:dyDescent="0.35">
      <c r="B450">
        <f>books!B640</f>
        <v>0</v>
      </c>
    </row>
    <row r="451" spans="2:2" x14ac:dyDescent="0.35">
      <c r="B451">
        <f>books!B641</f>
        <v>0</v>
      </c>
    </row>
    <row r="452" spans="2:2" x14ac:dyDescent="0.35">
      <c r="B452">
        <f>books!B642</f>
        <v>0</v>
      </c>
    </row>
    <row r="453" spans="2:2" x14ac:dyDescent="0.35">
      <c r="B453">
        <f>books!B643</f>
        <v>0</v>
      </c>
    </row>
    <row r="454" spans="2:2" x14ac:dyDescent="0.35">
      <c r="B454">
        <f>books!B644</f>
        <v>0</v>
      </c>
    </row>
    <row r="455" spans="2:2" x14ac:dyDescent="0.35">
      <c r="B455">
        <f>books!B645</f>
        <v>0</v>
      </c>
    </row>
    <row r="456" spans="2:2" x14ac:dyDescent="0.35">
      <c r="B456">
        <f>books!B646</f>
        <v>0</v>
      </c>
    </row>
    <row r="457" spans="2:2" x14ac:dyDescent="0.35">
      <c r="B457">
        <f>books!B647</f>
        <v>0</v>
      </c>
    </row>
    <row r="458" spans="2:2" x14ac:dyDescent="0.35">
      <c r="B458">
        <f>books!B648</f>
        <v>0</v>
      </c>
    </row>
    <row r="459" spans="2:2" x14ac:dyDescent="0.35">
      <c r="B459">
        <f>books!B649</f>
        <v>0</v>
      </c>
    </row>
    <row r="460" spans="2:2" x14ac:dyDescent="0.35">
      <c r="B460">
        <f>books!B650</f>
        <v>0</v>
      </c>
    </row>
    <row r="461" spans="2:2" x14ac:dyDescent="0.35">
      <c r="B461">
        <f>books!B651</f>
        <v>0</v>
      </c>
    </row>
    <row r="462" spans="2:2" x14ac:dyDescent="0.35">
      <c r="B462">
        <f>books!B652</f>
        <v>0</v>
      </c>
    </row>
    <row r="463" spans="2:2" x14ac:dyDescent="0.35">
      <c r="B463">
        <f>books!B653</f>
        <v>0</v>
      </c>
    </row>
    <row r="464" spans="2:2" x14ac:dyDescent="0.35">
      <c r="B464">
        <f>books!B654</f>
        <v>0</v>
      </c>
    </row>
    <row r="465" spans="2:2" x14ac:dyDescent="0.35">
      <c r="B465">
        <f>books!B655</f>
        <v>0</v>
      </c>
    </row>
    <row r="466" spans="2:2" x14ac:dyDescent="0.35">
      <c r="B466">
        <f>books!B656</f>
        <v>0</v>
      </c>
    </row>
    <row r="467" spans="2:2" x14ac:dyDescent="0.35">
      <c r="B467">
        <f>books!B657</f>
        <v>0</v>
      </c>
    </row>
    <row r="468" spans="2:2" x14ac:dyDescent="0.35">
      <c r="B468">
        <f>books!B658</f>
        <v>0</v>
      </c>
    </row>
    <row r="469" spans="2:2" x14ac:dyDescent="0.35">
      <c r="B469">
        <f>books!B659</f>
        <v>0</v>
      </c>
    </row>
    <row r="470" spans="2:2" x14ac:dyDescent="0.35">
      <c r="B470">
        <f>books!B660</f>
        <v>0</v>
      </c>
    </row>
    <row r="471" spans="2:2" x14ac:dyDescent="0.35">
      <c r="B471">
        <f>books!B661</f>
        <v>0</v>
      </c>
    </row>
    <row r="472" spans="2:2" x14ac:dyDescent="0.35">
      <c r="B472">
        <f>books!B662</f>
        <v>0</v>
      </c>
    </row>
    <row r="473" spans="2:2" x14ac:dyDescent="0.35">
      <c r="B473">
        <f>books!B663</f>
        <v>0</v>
      </c>
    </row>
    <row r="474" spans="2:2" x14ac:dyDescent="0.35">
      <c r="B474">
        <f>books!B664</f>
        <v>0</v>
      </c>
    </row>
    <row r="475" spans="2:2" x14ac:dyDescent="0.35">
      <c r="B475">
        <f>books!B665</f>
        <v>0</v>
      </c>
    </row>
    <row r="476" spans="2:2" x14ac:dyDescent="0.35">
      <c r="B476">
        <f>books!B666</f>
        <v>0</v>
      </c>
    </row>
    <row r="477" spans="2:2" x14ac:dyDescent="0.35">
      <c r="B477">
        <f>books!B667</f>
        <v>0</v>
      </c>
    </row>
    <row r="478" spans="2:2" x14ac:dyDescent="0.35">
      <c r="B478">
        <f>books!B668</f>
        <v>0</v>
      </c>
    </row>
    <row r="479" spans="2:2" x14ac:dyDescent="0.35">
      <c r="B479">
        <f>books!B669</f>
        <v>0</v>
      </c>
    </row>
    <row r="480" spans="2:2" x14ac:dyDescent="0.35">
      <c r="B480">
        <f>books!B670</f>
        <v>0</v>
      </c>
    </row>
    <row r="481" spans="2:2" x14ac:dyDescent="0.35">
      <c r="B481">
        <f>books!B671</f>
        <v>0</v>
      </c>
    </row>
    <row r="482" spans="2:2" x14ac:dyDescent="0.35">
      <c r="B482">
        <f>books!B672</f>
        <v>0</v>
      </c>
    </row>
    <row r="483" spans="2:2" x14ac:dyDescent="0.35">
      <c r="B483">
        <f>books!B673</f>
        <v>0</v>
      </c>
    </row>
    <row r="484" spans="2:2" x14ac:dyDescent="0.35">
      <c r="B484">
        <f>books!B674</f>
        <v>0</v>
      </c>
    </row>
    <row r="485" spans="2:2" x14ac:dyDescent="0.35">
      <c r="B485">
        <f>books!B675</f>
        <v>0</v>
      </c>
    </row>
    <row r="486" spans="2:2" x14ac:dyDescent="0.35">
      <c r="B486">
        <f>books!B676</f>
        <v>0</v>
      </c>
    </row>
    <row r="487" spans="2:2" x14ac:dyDescent="0.35">
      <c r="B487">
        <f>books!B677</f>
        <v>0</v>
      </c>
    </row>
    <row r="488" spans="2:2" x14ac:dyDescent="0.35">
      <c r="B488">
        <f>books!B678</f>
        <v>0</v>
      </c>
    </row>
    <row r="489" spans="2:2" x14ac:dyDescent="0.35">
      <c r="B489">
        <f>books!B679</f>
        <v>0</v>
      </c>
    </row>
    <row r="490" spans="2:2" x14ac:dyDescent="0.35">
      <c r="B490">
        <f>books!B680</f>
        <v>0</v>
      </c>
    </row>
    <row r="491" spans="2:2" x14ac:dyDescent="0.35">
      <c r="B491">
        <f>books!B681</f>
        <v>0</v>
      </c>
    </row>
    <row r="492" spans="2:2" x14ac:dyDescent="0.35">
      <c r="B492">
        <f>books!B682</f>
        <v>0</v>
      </c>
    </row>
    <row r="493" spans="2:2" x14ac:dyDescent="0.35">
      <c r="B493">
        <f>books!B683</f>
        <v>0</v>
      </c>
    </row>
    <row r="494" spans="2:2" x14ac:dyDescent="0.35">
      <c r="B494">
        <f>books!B684</f>
        <v>0</v>
      </c>
    </row>
    <row r="495" spans="2:2" x14ac:dyDescent="0.35">
      <c r="B495">
        <f>books!B685</f>
        <v>0</v>
      </c>
    </row>
    <row r="496" spans="2:2" x14ac:dyDescent="0.35">
      <c r="B496">
        <f>books!B686</f>
        <v>0</v>
      </c>
    </row>
    <row r="497" spans="2:2" x14ac:dyDescent="0.35">
      <c r="B497">
        <f>books!B687</f>
        <v>0</v>
      </c>
    </row>
    <row r="498" spans="2:2" x14ac:dyDescent="0.35">
      <c r="B498">
        <f>books!B688</f>
        <v>0</v>
      </c>
    </row>
    <row r="499" spans="2:2" x14ac:dyDescent="0.35">
      <c r="B499">
        <f>books!B689</f>
        <v>0</v>
      </c>
    </row>
    <row r="500" spans="2:2" x14ac:dyDescent="0.35">
      <c r="B500">
        <f>books!B690</f>
        <v>0</v>
      </c>
    </row>
    <row r="501" spans="2:2" x14ac:dyDescent="0.35">
      <c r="B501">
        <f>books!B691</f>
        <v>0</v>
      </c>
    </row>
    <row r="502" spans="2:2" x14ac:dyDescent="0.35">
      <c r="B502">
        <f>books!B692</f>
        <v>0</v>
      </c>
    </row>
    <row r="503" spans="2:2" x14ac:dyDescent="0.35">
      <c r="B503">
        <f>books!B693</f>
        <v>0</v>
      </c>
    </row>
    <row r="504" spans="2:2" x14ac:dyDescent="0.35">
      <c r="B504">
        <f>books!B694</f>
        <v>0</v>
      </c>
    </row>
    <row r="505" spans="2:2" x14ac:dyDescent="0.35">
      <c r="B505">
        <f>books!B695</f>
        <v>0</v>
      </c>
    </row>
    <row r="506" spans="2:2" x14ac:dyDescent="0.35">
      <c r="B506">
        <f>books!B696</f>
        <v>0</v>
      </c>
    </row>
    <row r="507" spans="2:2" x14ac:dyDescent="0.35">
      <c r="B507">
        <f>books!B697</f>
        <v>0</v>
      </c>
    </row>
    <row r="508" spans="2:2" x14ac:dyDescent="0.35">
      <c r="B508">
        <f>books!B698</f>
        <v>0</v>
      </c>
    </row>
    <row r="509" spans="2:2" x14ac:dyDescent="0.35">
      <c r="B509">
        <f>books!B699</f>
        <v>0</v>
      </c>
    </row>
    <row r="510" spans="2:2" x14ac:dyDescent="0.35">
      <c r="B510">
        <f>books!B700</f>
        <v>0</v>
      </c>
    </row>
    <row r="511" spans="2:2" x14ac:dyDescent="0.35">
      <c r="B511">
        <f>books!B701</f>
        <v>0</v>
      </c>
    </row>
    <row r="512" spans="2:2" x14ac:dyDescent="0.35">
      <c r="B512">
        <f>books!B702</f>
        <v>0</v>
      </c>
    </row>
    <row r="513" spans="2:2" x14ac:dyDescent="0.35">
      <c r="B513">
        <f>books!B703</f>
        <v>0</v>
      </c>
    </row>
    <row r="514" spans="2:2" x14ac:dyDescent="0.35">
      <c r="B514">
        <f>books!B704</f>
        <v>0</v>
      </c>
    </row>
    <row r="515" spans="2:2" x14ac:dyDescent="0.35">
      <c r="B515">
        <f>books!B705</f>
        <v>0</v>
      </c>
    </row>
    <row r="516" spans="2:2" x14ac:dyDescent="0.35">
      <c r="B516">
        <f>books!B706</f>
        <v>0</v>
      </c>
    </row>
    <row r="517" spans="2:2" x14ac:dyDescent="0.35">
      <c r="B517">
        <f>books!B707</f>
        <v>0</v>
      </c>
    </row>
    <row r="518" spans="2:2" x14ac:dyDescent="0.35">
      <c r="B518">
        <f>books!B708</f>
        <v>0</v>
      </c>
    </row>
    <row r="519" spans="2:2" x14ac:dyDescent="0.35">
      <c r="B519">
        <f>books!B709</f>
        <v>0</v>
      </c>
    </row>
    <row r="520" spans="2:2" x14ac:dyDescent="0.35">
      <c r="B520">
        <f>books!B710</f>
        <v>0</v>
      </c>
    </row>
    <row r="521" spans="2:2" x14ac:dyDescent="0.35">
      <c r="B521">
        <f>books!B711</f>
        <v>0</v>
      </c>
    </row>
    <row r="522" spans="2:2" x14ac:dyDescent="0.35">
      <c r="B522">
        <f>books!B712</f>
        <v>0</v>
      </c>
    </row>
    <row r="523" spans="2:2" x14ac:dyDescent="0.35">
      <c r="B523">
        <f>books!B713</f>
        <v>0</v>
      </c>
    </row>
    <row r="524" spans="2:2" x14ac:dyDescent="0.35">
      <c r="B524">
        <f>books!B714</f>
        <v>0</v>
      </c>
    </row>
    <row r="525" spans="2:2" x14ac:dyDescent="0.35">
      <c r="B525">
        <f>books!B715</f>
        <v>0</v>
      </c>
    </row>
    <row r="526" spans="2:2" x14ac:dyDescent="0.35">
      <c r="B526">
        <f>books!B716</f>
        <v>0</v>
      </c>
    </row>
    <row r="527" spans="2:2" x14ac:dyDescent="0.35">
      <c r="B527">
        <f>books!B717</f>
        <v>0</v>
      </c>
    </row>
    <row r="528" spans="2:2" x14ac:dyDescent="0.35">
      <c r="B528">
        <f>books!B718</f>
        <v>0</v>
      </c>
    </row>
    <row r="529" spans="2:2" x14ac:dyDescent="0.35">
      <c r="B529">
        <f>books!B719</f>
        <v>0</v>
      </c>
    </row>
    <row r="530" spans="2:2" x14ac:dyDescent="0.35">
      <c r="B530">
        <f>books!B720</f>
        <v>0</v>
      </c>
    </row>
    <row r="531" spans="2:2" x14ac:dyDescent="0.35">
      <c r="B531">
        <f>books!B721</f>
        <v>0</v>
      </c>
    </row>
    <row r="532" spans="2:2" x14ac:dyDescent="0.35">
      <c r="B532">
        <f>books!B722</f>
        <v>0</v>
      </c>
    </row>
    <row r="533" spans="2:2" x14ac:dyDescent="0.35">
      <c r="B533">
        <f>books!B723</f>
        <v>0</v>
      </c>
    </row>
    <row r="534" spans="2:2" x14ac:dyDescent="0.35">
      <c r="B534">
        <f>books!B724</f>
        <v>0</v>
      </c>
    </row>
    <row r="535" spans="2:2" x14ac:dyDescent="0.35">
      <c r="B535">
        <f>books!B725</f>
        <v>0</v>
      </c>
    </row>
    <row r="536" spans="2:2" x14ac:dyDescent="0.35">
      <c r="B536">
        <f>books!B726</f>
        <v>0</v>
      </c>
    </row>
    <row r="537" spans="2:2" x14ac:dyDescent="0.35">
      <c r="B537">
        <f>books!B727</f>
        <v>0</v>
      </c>
    </row>
    <row r="538" spans="2:2" x14ac:dyDescent="0.35">
      <c r="B538">
        <f>books!B728</f>
        <v>0</v>
      </c>
    </row>
    <row r="539" spans="2:2" x14ac:dyDescent="0.35">
      <c r="B539">
        <f>books!B729</f>
        <v>0</v>
      </c>
    </row>
    <row r="540" spans="2:2" x14ac:dyDescent="0.35">
      <c r="B540">
        <f>books!B730</f>
        <v>0</v>
      </c>
    </row>
    <row r="541" spans="2:2" x14ac:dyDescent="0.35">
      <c r="B541">
        <f>books!B731</f>
        <v>0</v>
      </c>
    </row>
    <row r="542" spans="2:2" x14ac:dyDescent="0.35">
      <c r="B542">
        <f>books!B732</f>
        <v>0</v>
      </c>
    </row>
    <row r="543" spans="2:2" x14ac:dyDescent="0.35">
      <c r="B543">
        <f>books!B733</f>
        <v>0</v>
      </c>
    </row>
    <row r="544" spans="2:2" x14ac:dyDescent="0.35">
      <c r="B544">
        <f>books!B734</f>
        <v>0</v>
      </c>
    </row>
    <row r="545" spans="2:2" x14ac:dyDescent="0.35">
      <c r="B545">
        <f>books!B735</f>
        <v>0</v>
      </c>
    </row>
    <row r="546" spans="2:2" x14ac:dyDescent="0.35">
      <c r="B546">
        <f>books!B736</f>
        <v>0</v>
      </c>
    </row>
    <row r="547" spans="2:2" x14ac:dyDescent="0.35">
      <c r="B547">
        <f>books!B737</f>
        <v>0</v>
      </c>
    </row>
    <row r="548" spans="2:2" x14ac:dyDescent="0.35">
      <c r="B548">
        <f>books!B738</f>
        <v>0</v>
      </c>
    </row>
    <row r="549" spans="2:2" x14ac:dyDescent="0.35">
      <c r="B549">
        <f>books!B739</f>
        <v>0</v>
      </c>
    </row>
    <row r="550" spans="2:2" x14ac:dyDescent="0.35">
      <c r="B550">
        <f>books!B740</f>
        <v>0</v>
      </c>
    </row>
    <row r="551" spans="2:2" x14ac:dyDescent="0.35">
      <c r="B551">
        <f>books!B741</f>
        <v>0</v>
      </c>
    </row>
    <row r="552" spans="2:2" x14ac:dyDescent="0.35">
      <c r="B552">
        <f>books!B742</f>
        <v>0</v>
      </c>
    </row>
    <row r="553" spans="2:2" x14ac:dyDescent="0.35">
      <c r="B553">
        <f>books!B743</f>
        <v>0</v>
      </c>
    </row>
    <row r="554" spans="2:2" x14ac:dyDescent="0.35">
      <c r="B554">
        <f>books!B744</f>
        <v>0</v>
      </c>
    </row>
    <row r="555" spans="2:2" x14ac:dyDescent="0.35">
      <c r="B555">
        <f>books!B745</f>
        <v>0</v>
      </c>
    </row>
    <row r="556" spans="2:2" x14ac:dyDescent="0.35">
      <c r="B556">
        <f>books!B746</f>
        <v>0</v>
      </c>
    </row>
    <row r="557" spans="2:2" x14ac:dyDescent="0.35">
      <c r="B557">
        <f>books!B747</f>
        <v>0</v>
      </c>
    </row>
    <row r="558" spans="2:2" x14ac:dyDescent="0.35">
      <c r="B558">
        <f>books!B748</f>
        <v>0</v>
      </c>
    </row>
    <row r="559" spans="2:2" x14ac:dyDescent="0.35">
      <c r="B559">
        <f>books!B749</f>
        <v>0</v>
      </c>
    </row>
    <row r="560" spans="2:2" x14ac:dyDescent="0.35">
      <c r="B560">
        <f>books!B750</f>
        <v>0</v>
      </c>
    </row>
    <row r="561" spans="2:2" x14ac:dyDescent="0.35">
      <c r="B561">
        <f>books!B751</f>
        <v>0</v>
      </c>
    </row>
    <row r="562" spans="2:2" x14ac:dyDescent="0.35">
      <c r="B562">
        <f>books!B752</f>
        <v>0</v>
      </c>
    </row>
    <row r="563" spans="2:2" x14ac:dyDescent="0.35">
      <c r="B563">
        <f>books!B753</f>
        <v>0</v>
      </c>
    </row>
    <row r="564" spans="2:2" x14ac:dyDescent="0.35">
      <c r="B564">
        <f>books!B754</f>
        <v>0</v>
      </c>
    </row>
    <row r="565" spans="2:2" x14ac:dyDescent="0.35">
      <c r="B565">
        <f>books!B755</f>
        <v>0</v>
      </c>
    </row>
    <row r="566" spans="2:2" x14ac:dyDescent="0.35">
      <c r="B566">
        <f>books!B756</f>
        <v>0</v>
      </c>
    </row>
    <row r="567" spans="2:2" x14ac:dyDescent="0.35">
      <c r="B567">
        <f>books!B757</f>
        <v>0</v>
      </c>
    </row>
    <row r="568" spans="2:2" x14ac:dyDescent="0.35">
      <c r="B568">
        <f>books!B758</f>
        <v>0</v>
      </c>
    </row>
    <row r="569" spans="2:2" x14ac:dyDescent="0.35">
      <c r="B569">
        <f>books!B759</f>
        <v>0</v>
      </c>
    </row>
    <row r="570" spans="2:2" x14ac:dyDescent="0.35">
      <c r="B570">
        <f>books!B760</f>
        <v>0</v>
      </c>
    </row>
    <row r="571" spans="2:2" x14ac:dyDescent="0.35">
      <c r="B571">
        <f>books!B761</f>
        <v>0</v>
      </c>
    </row>
    <row r="572" spans="2:2" x14ac:dyDescent="0.35">
      <c r="B572">
        <f>books!B762</f>
        <v>0</v>
      </c>
    </row>
    <row r="573" spans="2:2" x14ac:dyDescent="0.35">
      <c r="B573">
        <f>books!B763</f>
        <v>0</v>
      </c>
    </row>
    <row r="574" spans="2:2" x14ac:dyDescent="0.35">
      <c r="B574">
        <f>books!B764</f>
        <v>0</v>
      </c>
    </row>
    <row r="575" spans="2:2" x14ac:dyDescent="0.35">
      <c r="B575">
        <f>books!B765</f>
        <v>0</v>
      </c>
    </row>
    <row r="576" spans="2:2" x14ac:dyDescent="0.35">
      <c r="B576">
        <f>books!B766</f>
        <v>0</v>
      </c>
    </row>
    <row r="577" spans="2:2" x14ac:dyDescent="0.35">
      <c r="B577">
        <f>books!B767</f>
        <v>0</v>
      </c>
    </row>
    <row r="578" spans="2:2" x14ac:dyDescent="0.35">
      <c r="B578">
        <f>books!B768</f>
        <v>0</v>
      </c>
    </row>
    <row r="579" spans="2:2" x14ac:dyDescent="0.35">
      <c r="B579">
        <f>books!B769</f>
        <v>0</v>
      </c>
    </row>
    <row r="580" spans="2:2" x14ac:dyDescent="0.35">
      <c r="B580">
        <f>books!B770</f>
        <v>0</v>
      </c>
    </row>
    <row r="581" spans="2:2" x14ac:dyDescent="0.35">
      <c r="B581">
        <f>books!B771</f>
        <v>0</v>
      </c>
    </row>
    <row r="582" spans="2:2" x14ac:dyDescent="0.35">
      <c r="B582">
        <f>books!B772</f>
        <v>0</v>
      </c>
    </row>
    <row r="583" spans="2:2" x14ac:dyDescent="0.35">
      <c r="B583">
        <f>books!B773</f>
        <v>0</v>
      </c>
    </row>
    <row r="584" spans="2:2" x14ac:dyDescent="0.35">
      <c r="B584">
        <f>books!B774</f>
        <v>0</v>
      </c>
    </row>
    <row r="585" spans="2:2" x14ac:dyDescent="0.35">
      <c r="B585">
        <f>books!B775</f>
        <v>0</v>
      </c>
    </row>
    <row r="586" spans="2:2" x14ac:dyDescent="0.35">
      <c r="B586">
        <f>books!B776</f>
        <v>0</v>
      </c>
    </row>
    <row r="587" spans="2:2" x14ac:dyDescent="0.35">
      <c r="B587">
        <f>books!B777</f>
        <v>0</v>
      </c>
    </row>
    <row r="588" spans="2:2" x14ac:dyDescent="0.35">
      <c r="B588">
        <f>books!B778</f>
        <v>0</v>
      </c>
    </row>
    <row r="589" spans="2:2" x14ac:dyDescent="0.35">
      <c r="B589">
        <f>books!B779</f>
        <v>0</v>
      </c>
    </row>
    <row r="590" spans="2:2" x14ac:dyDescent="0.35">
      <c r="B590">
        <f>books!B780</f>
        <v>0</v>
      </c>
    </row>
    <row r="591" spans="2:2" x14ac:dyDescent="0.35">
      <c r="B591">
        <f>books!B781</f>
        <v>0</v>
      </c>
    </row>
    <row r="592" spans="2:2" x14ac:dyDescent="0.35">
      <c r="B592">
        <f>books!B782</f>
        <v>0</v>
      </c>
    </row>
    <row r="593" spans="2:2" x14ac:dyDescent="0.35">
      <c r="B593">
        <f>books!B783</f>
        <v>0</v>
      </c>
    </row>
    <row r="594" spans="2:2" x14ac:dyDescent="0.35">
      <c r="B594">
        <f>books!B784</f>
        <v>0</v>
      </c>
    </row>
    <row r="595" spans="2:2" x14ac:dyDescent="0.35">
      <c r="B595">
        <f>books!B785</f>
        <v>0</v>
      </c>
    </row>
    <row r="596" spans="2:2" x14ac:dyDescent="0.35">
      <c r="B596">
        <f>books!B786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5655-0F18-4050-8EAC-EFB7CB776940}">
  <sheetPr codeName="Sheet5"/>
  <dimension ref="A1:V596"/>
  <sheetViews>
    <sheetView workbookViewId="0">
      <selection activeCell="V5" sqref="V5"/>
    </sheetView>
  </sheetViews>
  <sheetFormatPr defaultRowHeight="14.5" x14ac:dyDescent="0.35"/>
  <cols>
    <col min="2" max="2" width="0" hidden="1" customWidth="1"/>
  </cols>
  <sheetData>
    <row r="1" spans="1:22" x14ac:dyDescent="0.35">
      <c r="A1" t="str" cm="1">
        <f t="array" ref="A1:A417">_xlfn.UNIQUE(books!B1:B594)</f>
        <v>Madeline L'Engle</v>
      </c>
      <c r="B1" t="str">
        <f>books!B1</f>
        <v>Madeline L'Engle</v>
      </c>
    </row>
    <row r="2" spans="1:22" x14ac:dyDescent="0.35">
      <c r="A2" t="str">
        <v>Christopher Paolini</v>
      </c>
      <c r="B2" t="str">
        <f>books!B2</f>
        <v>Christopher Paolini</v>
      </c>
    </row>
    <row r="3" spans="1:22" x14ac:dyDescent="0.35">
      <c r="A3" t="str">
        <v>Rick Riordan</v>
      </c>
      <c r="B3" t="str">
        <f>books!B3</f>
        <v>Rick Riordan</v>
      </c>
    </row>
    <row r="4" spans="1:22" x14ac:dyDescent="0.35">
      <c r="A4" t="str">
        <v>Brian Jaques</v>
      </c>
      <c r="B4" t="str">
        <f>books!B4</f>
        <v>Brian Jaques</v>
      </c>
    </row>
    <row r="5" spans="1:22" x14ac:dyDescent="0.35">
      <c r="A5" t="str">
        <v>Ursula Le Guin</v>
      </c>
      <c r="B5" t="str">
        <f>books!B5</f>
        <v>Ursula Le Guin</v>
      </c>
      <c r="J5" t="s">
        <v>1767</v>
      </c>
      <c r="K5" t="s">
        <v>1768</v>
      </c>
      <c r="L5" t="s">
        <v>1769</v>
      </c>
      <c r="M5" t="s">
        <v>1770</v>
      </c>
      <c r="N5" t="s">
        <v>1771</v>
      </c>
      <c r="O5" t="s">
        <v>1772</v>
      </c>
      <c r="P5" t="s">
        <v>1777</v>
      </c>
      <c r="Q5" t="s">
        <v>1776</v>
      </c>
      <c r="R5" t="s">
        <v>1778</v>
      </c>
      <c r="S5" t="s">
        <v>1783</v>
      </c>
      <c r="T5" t="s">
        <v>1784</v>
      </c>
      <c r="U5" t="s">
        <v>1785</v>
      </c>
      <c r="V5" t="s">
        <v>1786</v>
      </c>
    </row>
    <row r="6" spans="1:22" x14ac:dyDescent="0.35">
      <c r="A6" t="str">
        <v>Seth Stephens-Davidowitz</v>
      </c>
      <c r="B6" t="str">
        <f>books!B6</f>
        <v>Seth Stephens-Davidowitz</v>
      </c>
    </row>
    <row r="7" spans="1:22" x14ac:dyDescent="0.35">
      <c r="A7" t="str">
        <v>C.S. Lewis</v>
      </c>
      <c r="B7" t="str">
        <f>books!B7</f>
        <v>C.S. Lewis</v>
      </c>
    </row>
    <row r="8" spans="1:22" x14ac:dyDescent="0.35">
      <c r="A8" t="str">
        <v>James Choung</v>
      </c>
      <c r="B8" t="str">
        <f>books!B8</f>
        <v>James Choung</v>
      </c>
    </row>
    <row r="9" spans="1:22" x14ac:dyDescent="0.35">
      <c r="A9" t="str">
        <v>Aldous Huxley</v>
      </c>
      <c r="B9" t="str">
        <f>books!B9</f>
        <v>Aldous Huxley</v>
      </c>
      <c r="D9" t="s">
        <v>1735</v>
      </c>
    </row>
    <row r="10" spans="1:22" x14ac:dyDescent="0.35">
      <c r="A10" t="str">
        <v>Isaac Asimov</v>
      </c>
      <c r="B10" t="str">
        <f>books!B10</f>
        <v>Isaac Asimov</v>
      </c>
    </row>
    <row r="11" spans="1:22" x14ac:dyDescent="0.35">
      <c r="A11" t="str">
        <v>JRR Tolkien</v>
      </c>
      <c r="B11" t="str">
        <f>books!B11</f>
        <v>JRR Tolkien</v>
      </c>
      <c r="H11" t="s">
        <v>1751</v>
      </c>
    </row>
    <row r="12" spans="1:22" x14ac:dyDescent="0.35">
      <c r="A12" t="str">
        <v>Susan Cooper</v>
      </c>
      <c r="B12" t="str">
        <f>books!B12</f>
        <v>Susan Cooper</v>
      </c>
    </row>
    <row r="13" spans="1:22" x14ac:dyDescent="0.35">
      <c r="A13" t="str">
        <v>Angie Sage</v>
      </c>
      <c r="B13" t="str">
        <f>books!B13</f>
        <v>Angie Sage</v>
      </c>
    </row>
    <row r="14" spans="1:22" x14ac:dyDescent="0.35">
      <c r="A14" t="str">
        <v>Ingrid Law</v>
      </c>
      <c r="B14" t="str">
        <f>books!B14</f>
        <v>Ingrid Law</v>
      </c>
    </row>
    <row r="15" spans="1:22" x14ac:dyDescent="0.35">
      <c r="A15" t="str">
        <v>Frank Herbert</v>
      </c>
      <c r="B15" t="str">
        <f>books!B15</f>
        <v>Frank Herbert</v>
      </c>
      <c r="G15" t="s">
        <v>1695</v>
      </c>
      <c r="H15" t="s">
        <v>1692</v>
      </c>
    </row>
    <row r="16" spans="1:22" x14ac:dyDescent="0.35">
      <c r="A16" t="str">
        <v>Kevin Anderson &amp; Brian Herbert</v>
      </c>
      <c r="B16" t="str">
        <f>books!B16</f>
        <v>Kevin Anderson &amp; Brian Herbert</v>
      </c>
      <c r="K16" t="s">
        <v>1714</v>
      </c>
      <c r="L16" t="s">
        <v>1713</v>
      </c>
      <c r="M16" t="s">
        <v>1717</v>
      </c>
    </row>
    <row r="17" spans="1:2" x14ac:dyDescent="0.35">
      <c r="A17" t="str">
        <v>James Dashner</v>
      </c>
      <c r="B17" t="str">
        <f>books!B17</f>
        <v>James Dashner</v>
      </c>
    </row>
    <row r="18" spans="1:2" x14ac:dyDescent="0.35">
      <c r="A18" t="str">
        <v>Margaret Peterson Haddix</v>
      </c>
      <c r="B18" t="str">
        <f>books!B18</f>
        <v>Margaret Peterson Haddix</v>
      </c>
    </row>
    <row r="19" spans="1:2" x14ac:dyDescent="0.35">
      <c r="A19" t="str">
        <v>D.J. MacHale</v>
      </c>
      <c r="B19" t="str">
        <f>books!B19</f>
        <v>D.J. MacHale</v>
      </c>
    </row>
    <row r="20" spans="1:2" x14ac:dyDescent="0.35">
      <c r="A20" t="str">
        <v>Markus Zuzak</v>
      </c>
      <c r="B20" t="str">
        <f>books!B20</f>
        <v>Markus Zuzak</v>
      </c>
    </row>
    <row r="21" spans="1:2" x14ac:dyDescent="0.35">
      <c r="A21" t="str">
        <v>Suzanne Collins</v>
      </c>
      <c r="B21" t="str">
        <f>books!B21</f>
        <v>Suzanne Collins</v>
      </c>
    </row>
    <row r="22" spans="1:2" x14ac:dyDescent="0.35">
      <c r="A22" t="str">
        <v>Lois Lowry</v>
      </c>
      <c r="B22" t="str">
        <f>books!B22</f>
        <v>Lois Lowry</v>
      </c>
    </row>
    <row r="23" spans="1:2" x14ac:dyDescent="0.35">
      <c r="A23" t="str">
        <v>Cornelia Funke</v>
      </c>
      <c r="B23" t="str">
        <f>books!B23</f>
        <v>Cornelia Funke</v>
      </c>
    </row>
    <row r="24" spans="1:2" x14ac:dyDescent="0.35">
      <c r="A24" t="str">
        <v>Brian Sanderson</v>
      </c>
      <c r="B24" t="str">
        <f>books!B24</f>
        <v>Brian Sanderson</v>
      </c>
    </row>
    <row r="25" spans="1:2" x14ac:dyDescent="0.35">
      <c r="A25" t="str">
        <v>Charles Stross</v>
      </c>
      <c r="B25" t="str">
        <f>books!B25</f>
        <v>Charles Stross</v>
      </c>
    </row>
    <row r="26" spans="1:2" x14ac:dyDescent="0.35">
      <c r="A26" t="str">
        <v>Ridley Pearson and Dave Barry</v>
      </c>
      <c r="B26" t="str">
        <f>books!B26</f>
        <v>Ridley Pearson and Dave Barry</v>
      </c>
    </row>
    <row r="27" spans="1:2" x14ac:dyDescent="0.35">
      <c r="A27" t="str">
        <v>J.K. Rowling</v>
      </c>
      <c r="B27" t="str">
        <f>books!B27</f>
        <v>J.K. Rowling</v>
      </c>
    </row>
    <row r="28" spans="1:2" x14ac:dyDescent="0.35">
      <c r="A28" t="str">
        <v>Anne McCaffrey</v>
      </c>
      <c r="B28" t="str">
        <f>books!B28</f>
        <v>Anne McCaffrey</v>
      </c>
    </row>
    <row r="29" spans="1:2" x14ac:dyDescent="0.35">
      <c r="A29" t="str">
        <v>Andrew Clements</v>
      </c>
      <c r="B29" t="str">
        <f>books!B29</f>
        <v>Andrew Clements</v>
      </c>
    </row>
    <row r="30" spans="1:2" x14ac:dyDescent="0.35">
      <c r="A30" t="str">
        <v>Robert O'Brien</v>
      </c>
      <c r="B30" t="str">
        <f>books!B30</f>
        <v>Robert O'Brien</v>
      </c>
    </row>
    <row r="31" spans="1:2" x14ac:dyDescent="0.35">
      <c r="A31" t="str">
        <v>Lillian Jackson Braun</v>
      </c>
      <c r="B31" t="str">
        <f>books!B31</f>
        <v>Lillian Jackson Braun</v>
      </c>
    </row>
    <row r="32" spans="1:2" x14ac:dyDescent="0.35">
      <c r="A32" t="str">
        <v>Elizabeth Enright</v>
      </c>
      <c r="B32" t="str">
        <f>books!B32</f>
        <v>Elizabeth Enright</v>
      </c>
    </row>
    <row r="33" spans="1:2" x14ac:dyDescent="0.35">
      <c r="A33" t="str">
        <v>Frances Burnett</v>
      </c>
      <c r="B33" t="str">
        <f>books!B33</f>
        <v>Frances Burnett</v>
      </c>
    </row>
    <row r="34" spans="1:2" x14ac:dyDescent="0.35">
      <c r="A34" t="str">
        <v>Johann Wyss</v>
      </c>
      <c r="B34" t="str">
        <f>books!B34</f>
        <v>Johann Wyss</v>
      </c>
    </row>
    <row r="35" spans="1:2" x14ac:dyDescent="0.35">
      <c r="A35" t="str">
        <v>Anna Sewell</v>
      </c>
      <c r="B35" t="str">
        <f>books!B35</f>
        <v>Anna Sewell</v>
      </c>
    </row>
    <row r="36" spans="1:2" x14ac:dyDescent="0.35">
      <c r="A36" t="str">
        <v>Marguerite Henry</v>
      </c>
      <c r="B36" t="str">
        <f>books!B36</f>
        <v>Marguerite Henry</v>
      </c>
    </row>
    <row r="37" spans="1:2" x14ac:dyDescent="0.35">
      <c r="A37" t="str">
        <v>Jeffery Dean</v>
      </c>
      <c r="B37" t="str">
        <f>books!B37</f>
        <v>Jeffery Dean</v>
      </c>
    </row>
    <row r="38" spans="1:2" x14ac:dyDescent="0.35">
      <c r="A38" t="str">
        <v>Gary Paulsen</v>
      </c>
      <c r="B38" t="str">
        <f>books!B38</f>
        <v>Gary Paulsen</v>
      </c>
    </row>
    <row r="39" spans="1:2" x14ac:dyDescent="0.35">
      <c r="A39" t="str">
        <v>Laura Wilder</v>
      </c>
      <c r="B39" t="str">
        <f>books!B39</f>
        <v>Laura Wilder</v>
      </c>
    </row>
    <row r="40" spans="1:2" x14ac:dyDescent="0.35">
      <c r="A40" t="str">
        <v>Cristopher Curtis</v>
      </c>
      <c r="B40" t="str">
        <f>books!B40</f>
        <v>Cristopher Curtis</v>
      </c>
    </row>
    <row r="41" spans="1:2" x14ac:dyDescent="0.35">
      <c r="A41" t="str">
        <v>Bernard Evslin</v>
      </c>
      <c r="B41" t="str">
        <f>books!B41</f>
        <v>Bernard Evslin</v>
      </c>
    </row>
    <row r="42" spans="1:2" x14ac:dyDescent="0.35">
      <c r="A42" t="str">
        <v>Robert McCloskey</v>
      </c>
      <c r="B42" t="str">
        <f>books!B42</f>
        <v>Robert McCloskey</v>
      </c>
    </row>
    <row r="43" spans="1:2" x14ac:dyDescent="0.35">
      <c r="A43" t="str">
        <v>Kenneth Thomasma</v>
      </c>
      <c r="B43" t="str">
        <f>books!B43</f>
        <v>Kenneth Thomasma</v>
      </c>
    </row>
    <row r="44" spans="1:2" x14ac:dyDescent="0.35">
      <c r="A44" t="str">
        <v>Edith Hunter</v>
      </c>
      <c r="B44" t="str">
        <f>books!B44</f>
        <v>Edith Hunter</v>
      </c>
    </row>
    <row r="45" spans="1:2" x14ac:dyDescent="0.35">
      <c r="A45" t="str">
        <v>Michael Bond</v>
      </c>
      <c r="B45" t="str">
        <f>books!B45</f>
        <v>Michael Bond</v>
      </c>
    </row>
    <row r="46" spans="1:2" x14ac:dyDescent="0.35">
      <c r="A46" t="str">
        <v>Roald Dahl</v>
      </c>
      <c r="B46" t="str">
        <f>books!B46</f>
        <v>Roald Dahl</v>
      </c>
    </row>
    <row r="47" spans="1:2" x14ac:dyDescent="0.35">
      <c r="A47" t="str">
        <v>Elizabeth Yates</v>
      </c>
      <c r="B47" t="str">
        <f>books!B47</f>
        <v>Elizabeth Yates</v>
      </c>
    </row>
    <row r="48" spans="1:2" x14ac:dyDescent="0.35">
      <c r="A48" t="str">
        <v>Mary Shelly</v>
      </c>
      <c r="B48" t="str">
        <f>books!B48</f>
        <v>Mary Shelly</v>
      </c>
    </row>
    <row r="49" spans="1:11" x14ac:dyDescent="0.35">
      <c r="A49" t="str">
        <v>Jenny Nimmo</v>
      </c>
      <c r="B49" t="str">
        <f>books!B49</f>
        <v>Jenny Nimmo</v>
      </c>
    </row>
    <row r="50" spans="1:11" x14ac:dyDescent="0.35">
      <c r="A50" t="str">
        <v>Michael Buckley</v>
      </c>
      <c r="B50" t="str">
        <f>books!B50</f>
        <v>Michael Buckley</v>
      </c>
    </row>
    <row r="51" spans="1:11" x14ac:dyDescent="0.35">
      <c r="A51" t="str">
        <v>Clive Cussler</v>
      </c>
      <c r="B51" t="str">
        <f>books!B51</f>
        <v>Clive Cussler</v>
      </c>
    </row>
    <row r="52" spans="1:11" x14ac:dyDescent="0.35">
      <c r="A52" t="str">
        <v>Terry Brooks</v>
      </c>
      <c r="B52" t="str">
        <f>books!B52</f>
        <v>Terry Brooks</v>
      </c>
      <c r="K52" t="s">
        <v>1616</v>
      </c>
    </row>
    <row r="53" spans="1:11" x14ac:dyDescent="0.35">
      <c r="A53" t="str">
        <v>Kristin Cashore</v>
      </c>
      <c r="B53" t="str">
        <f>books!B53</f>
        <v>Kristin Cashore</v>
      </c>
    </row>
    <row r="54" spans="1:11" x14ac:dyDescent="0.35">
      <c r="A54" t="str">
        <v>Chris D'lacey</v>
      </c>
      <c r="B54" t="str">
        <f>books!B54</f>
        <v>Chris D'lacey</v>
      </c>
    </row>
    <row r="55" spans="1:11" x14ac:dyDescent="0.35">
      <c r="A55" t="str">
        <v>Katherine Applegate</v>
      </c>
      <c r="B55" t="str">
        <f>books!B55</f>
        <v>Katherine Applegate</v>
      </c>
    </row>
    <row r="56" spans="1:11" x14ac:dyDescent="0.35">
      <c r="A56" t="str">
        <v>Eleanor Estes</v>
      </c>
      <c r="B56" t="str">
        <f>books!B56</f>
        <v>Eleanor Estes</v>
      </c>
    </row>
    <row r="57" spans="1:11" x14ac:dyDescent="0.35">
      <c r="A57" t="str">
        <v>Mark Twain</v>
      </c>
      <c r="B57" t="str">
        <f>books!B57</f>
        <v>Mark Twain</v>
      </c>
    </row>
    <row r="58" spans="1:11" x14ac:dyDescent="0.35">
      <c r="A58" t="str">
        <v>Kenneth Grahame</v>
      </c>
      <c r="B58" t="str">
        <f>books!B58</f>
        <v>Kenneth Grahame</v>
      </c>
    </row>
    <row r="59" spans="1:11" x14ac:dyDescent="0.35">
      <c r="A59" t="str">
        <v>Allan Eckert</v>
      </c>
      <c r="B59" t="str">
        <f>books!B59</f>
        <v>Allan Eckert</v>
      </c>
    </row>
    <row r="60" spans="1:11" x14ac:dyDescent="0.35">
      <c r="A60" t="str">
        <v>Jacqueline Kelly</v>
      </c>
      <c r="B60" t="str">
        <f>books!B60</f>
        <v>Jacqueline Kelly</v>
      </c>
    </row>
    <row r="61" spans="1:11" x14ac:dyDescent="0.35">
      <c r="A61" t="str">
        <v>Julie Andrews</v>
      </c>
      <c r="B61" t="str">
        <f>books!B61</f>
        <v>Julie Andrews</v>
      </c>
    </row>
    <row r="62" spans="1:11" x14ac:dyDescent="0.35">
      <c r="A62" t="str">
        <v>Katherine Paterson</v>
      </c>
      <c r="B62" t="str">
        <f>books!B62</f>
        <v>Katherine Paterson</v>
      </c>
    </row>
    <row r="63" spans="1:11" x14ac:dyDescent="0.35">
      <c r="A63" t="str">
        <v>Ted Bell</v>
      </c>
      <c r="B63" t="str">
        <f>books!B63</f>
        <v>Ted Bell</v>
      </c>
    </row>
    <row r="64" spans="1:11" x14ac:dyDescent="0.35">
      <c r="A64" t="str">
        <v>Lynne Banks</v>
      </c>
      <c r="B64" t="str">
        <f>books!B64</f>
        <v>Lynne Banks</v>
      </c>
    </row>
    <row r="65" spans="1:2" x14ac:dyDescent="0.35">
      <c r="A65" t="str">
        <v>G. Lippert</v>
      </c>
      <c r="B65" t="str">
        <f>books!B65</f>
        <v>G. Lippert</v>
      </c>
    </row>
    <row r="66" spans="1:2" x14ac:dyDescent="0.35">
      <c r="A66" t="str">
        <v>Johannes von Saaz</v>
      </c>
      <c r="B66" t="str">
        <f>books!B66</f>
        <v>Johannes von Saaz</v>
      </c>
    </row>
    <row r="67" spans="1:2" x14ac:dyDescent="0.35">
      <c r="A67" t="str">
        <v>Hartmann von Aue</v>
      </c>
      <c r="B67" t="str">
        <f>books!B67</f>
        <v>Hartmann von Aue</v>
      </c>
    </row>
    <row r="68" spans="1:2" x14ac:dyDescent="0.35">
      <c r="A68" t="str">
        <v>Charles Dickens</v>
      </c>
      <c r="B68" t="str">
        <f>books!B68</f>
        <v>Charles Dickens</v>
      </c>
    </row>
    <row r="69" spans="1:2" x14ac:dyDescent="0.35">
      <c r="A69" t="str">
        <v>Richard Connell</v>
      </c>
      <c r="B69" t="str">
        <f>books!B69</f>
        <v>Richard Connell</v>
      </c>
    </row>
    <row r="70" spans="1:2" x14ac:dyDescent="0.35">
      <c r="A70" t="str">
        <v>Robert Jeffress</v>
      </c>
      <c r="B70" t="str">
        <f>books!B70</f>
        <v>Robert Jeffress</v>
      </c>
    </row>
    <row r="71" spans="1:2" x14ac:dyDescent="0.35">
      <c r="A71" t="str">
        <v>Tristan Gooley</v>
      </c>
      <c r="B71" t="str">
        <f>books!B71</f>
        <v>Tristan Gooley</v>
      </c>
    </row>
    <row r="72" spans="1:2" x14ac:dyDescent="0.35">
      <c r="A72" t="str">
        <v>Sid Fleischman</v>
      </c>
      <c r="B72" t="str">
        <f>books!B72</f>
        <v>Sid Fleischman</v>
      </c>
    </row>
    <row r="73" spans="1:2" x14ac:dyDescent="0.35">
      <c r="A73" t="str">
        <v>Kevin Brooks</v>
      </c>
      <c r="B73" t="str">
        <f>books!B73</f>
        <v>Kevin Brooks</v>
      </c>
    </row>
    <row r="74" spans="1:2" x14ac:dyDescent="0.35">
      <c r="A74" t="str">
        <v>Lissa Price</v>
      </c>
      <c r="B74" t="str">
        <f>books!B74</f>
        <v>Lissa Price</v>
      </c>
    </row>
    <row r="75" spans="1:2" x14ac:dyDescent="0.35">
      <c r="A75" t="str">
        <v>Nancy Farmer</v>
      </c>
      <c r="B75" t="str">
        <f>books!B75</f>
        <v>Nancy Farmer</v>
      </c>
    </row>
    <row r="76" spans="1:2" x14ac:dyDescent="0.35">
      <c r="A76" t="str">
        <v>Frank Baum</v>
      </c>
      <c r="B76" t="str">
        <f>books!B76</f>
        <v>Frank Baum</v>
      </c>
    </row>
    <row r="77" spans="1:2" x14ac:dyDescent="0.35">
      <c r="A77" t="str">
        <v>H.G. Wells</v>
      </c>
      <c r="B77" t="str">
        <f>books!B77</f>
        <v>H.G. Wells</v>
      </c>
    </row>
    <row r="78" spans="1:2" x14ac:dyDescent="0.35">
      <c r="A78" t="str">
        <v>John Christopher</v>
      </c>
      <c r="B78" t="str">
        <f>books!B78</f>
        <v>John Christopher</v>
      </c>
    </row>
    <row r="79" spans="1:2" x14ac:dyDescent="0.35">
      <c r="A79" t="str">
        <v>Gerald Morris</v>
      </c>
      <c r="B79" t="str">
        <f>books!B79</f>
        <v>Gerald Morris</v>
      </c>
    </row>
    <row r="80" spans="1:2" x14ac:dyDescent="0.35">
      <c r="A80" t="str">
        <v>Phillip Pullman</v>
      </c>
      <c r="B80" t="str">
        <f>books!B80</f>
        <v>Phillip Pullman</v>
      </c>
    </row>
    <row r="81" spans="1:2" x14ac:dyDescent="0.35">
      <c r="A81" t="str">
        <v>Diane Duane</v>
      </c>
      <c r="B81" t="str">
        <f>books!B81</f>
        <v>Diane Duane</v>
      </c>
    </row>
    <row r="82" spans="1:2" x14ac:dyDescent="0.35">
      <c r="A82" t="str">
        <v>Wilson Rawls</v>
      </c>
      <c r="B82" t="str">
        <f>books!B82</f>
        <v>Wilson Rawls</v>
      </c>
    </row>
    <row r="83" spans="1:2" x14ac:dyDescent="0.35">
      <c r="A83" t="str">
        <v>Lois Lamour</v>
      </c>
      <c r="B83" t="str">
        <f>books!B83</f>
        <v>Lois Lamour</v>
      </c>
    </row>
    <row r="84" spans="1:2" x14ac:dyDescent="0.35">
      <c r="A84" t="str">
        <v>Franklin Dixon</v>
      </c>
      <c r="B84" t="str">
        <f>books!B84</f>
        <v>Franklin Dixon</v>
      </c>
    </row>
    <row r="85" spans="1:2" x14ac:dyDescent="0.35">
      <c r="A85" t="str">
        <v>Clare Vanderpool</v>
      </c>
      <c r="B85" t="str">
        <f>books!B85</f>
        <v>Clare Vanderpool</v>
      </c>
    </row>
    <row r="86" spans="1:2" x14ac:dyDescent="0.35">
      <c r="A86" t="str">
        <v>Tracy Porter</v>
      </c>
      <c r="B86" t="str">
        <f>books!B86</f>
        <v>Tracy Porter</v>
      </c>
    </row>
    <row r="87" spans="1:2" x14ac:dyDescent="0.35">
      <c r="A87" t="str">
        <v>Brandon Mull</v>
      </c>
      <c r="B87" t="str">
        <f>books!B87</f>
        <v>Brandon Mull</v>
      </c>
    </row>
    <row r="88" spans="1:2" x14ac:dyDescent="0.35">
      <c r="A88" t="str">
        <v>Gabrielle Zevin</v>
      </c>
      <c r="B88" t="str">
        <f>books!B88</f>
        <v>Gabrielle Zevin</v>
      </c>
    </row>
    <row r="89" spans="1:2" x14ac:dyDescent="0.35">
      <c r="A89" t="str">
        <v>Neal Shusterman</v>
      </c>
      <c r="B89" t="str">
        <f>books!B89</f>
        <v>Neal Shusterman</v>
      </c>
    </row>
    <row r="90" spans="1:2" x14ac:dyDescent="0.35">
      <c r="A90" t="str">
        <v>Charlie Higson</v>
      </c>
      <c r="B90" t="str">
        <f>books!B90</f>
        <v>Charlie Higson</v>
      </c>
    </row>
    <row r="91" spans="1:2" x14ac:dyDescent="0.35">
      <c r="A91" t="str">
        <v>Lemony Snicket</v>
      </c>
      <c r="B91" t="str">
        <f>books!B91</f>
        <v>Lemony Snicket</v>
      </c>
    </row>
    <row r="92" spans="1:2" x14ac:dyDescent="0.35">
      <c r="A92" t="str">
        <v>Pseydonymous Bosch</v>
      </c>
      <c r="B92" t="str">
        <f>books!B92</f>
        <v>Pseydonymous Bosch</v>
      </c>
    </row>
    <row r="93" spans="1:2" x14ac:dyDescent="0.35">
      <c r="A93" t="str">
        <v>Michael Chrichton</v>
      </c>
      <c r="B93" t="str">
        <f>books!B93</f>
        <v>Michael Chrichton</v>
      </c>
    </row>
    <row r="94" spans="1:2" x14ac:dyDescent="0.35">
      <c r="A94" t="str">
        <v>Naomi Klein</v>
      </c>
      <c r="B94" t="str">
        <f>books!B94</f>
        <v>Naomi Klein</v>
      </c>
    </row>
    <row r="95" spans="1:2" x14ac:dyDescent="0.35">
      <c r="A95" t="str">
        <v>Ta-Nehisi Coates</v>
      </c>
      <c r="B95" t="str">
        <f>books!B95</f>
        <v>Ta-Nehisi Coates</v>
      </c>
    </row>
    <row r="96" spans="1:2" x14ac:dyDescent="0.35">
      <c r="A96" t="str">
        <v>Mosab Yousef</v>
      </c>
      <c r="B96" t="str">
        <f>books!B96</f>
        <v>Mosab Yousef</v>
      </c>
    </row>
    <row r="97" spans="1:5" x14ac:dyDescent="0.35">
      <c r="A97" t="str">
        <v>S.E. Hinton</v>
      </c>
      <c r="B97" t="str">
        <f>books!B97</f>
        <v>S.E. Hinton</v>
      </c>
    </row>
    <row r="98" spans="1:5" x14ac:dyDescent="0.35">
      <c r="A98" t="str">
        <v>Lois Sachar</v>
      </c>
      <c r="B98" t="str">
        <f>books!B98</f>
        <v>Lois Sachar</v>
      </c>
    </row>
    <row r="99" spans="1:5" x14ac:dyDescent="0.35">
      <c r="A99" t="str">
        <v>Beverly Cleary</v>
      </c>
      <c r="B99" t="str">
        <f>books!B99</f>
        <v>Beverly Cleary</v>
      </c>
    </row>
    <row r="100" spans="1:5" x14ac:dyDescent="0.35">
      <c r="A100" t="str">
        <v>Hans Christian Andersen</v>
      </c>
      <c r="B100" t="str">
        <f>books!B100</f>
        <v>Hans Christian Andersen</v>
      </c>
    </row>
    <row r="101" spans="1:5" x14ac:dyDescent="0.35">
      <c r="A101" t="str">
        <v>George Selden</v>
      </c>
      <c r="B101" t="str">
        <f>books!B101</f>
        <v>George Selden</v>
      </c>
    </row>
    <row r="102" spans="1:5" x14ac:dyDescent="0.35">
      <c r="A102" t="str">
        <v>Susan Bartoletti</v>
      </c>
      <c r="B102" t="str">
        <f>books!B102</f>
        <v>Susan Bartoletti</v>
      </c>
    </row>
    <row r="103" spans="1:5" x14ac:dyDescent="0.35">
      <c r="A103" t="str">
        <v>Richard Bach</v>
      </c>
      <c r="B103" t="str">
        <f>books!B103</f>
        <v>Richard Bach</v>
      </c>
    </row>
    <row r="104" spans="1:5" x14ac:dyDescent="0.35">
      <c r="A104" t="str">
        <v>Chauser</v>
      </c>
      <c r="B104" t="str">
        <f>books!B104</f>
        <v>Chauser</v>
      </c>
    </row>
    <row r="105" spans="1:5" x14ac:dyDescent="0.35">
      <c r="A105" t="str">
        <v>Ann Petty</v>
      </c>
      <c r="B105" t="str">
        <f>books!B105</f>
        <v>Ann Petty</v>
      </c>
    </row>
    <row r="106" spans="1:5" x14ac:dyDescent="0.35">
      <c r="A106" t="str">
        <v>Kimberly Little</v>
      </c>
      <c r="B106" t="str">
        <f>books!B106</f>
        <v>Kimberly Little</v>
      </c>
    </row>
    <row r="107" spans="1:5" x14ac:dyDescent="0.35">
      <c r="A107" t="str">
        <v>Washington Ivring</v>
      </c>
      <c r="B107" t="e">
        <f>books!#REF!</f>
        <v>#REF!</v>
      </c>
    </row>
    <row r="108" spans="1:5" x14ac:dyDescent="0.35">
      <c r="A108" t="str">
        <v>Eva Ibbotson</v>
      </c>
      <c r="B108" t="str">
        <f>books!B107</f>
        <v>Washington Ivring</v>
      </c>
      <c r="C108" t="s">
        <v>1664</v>
      </c>
      <c r="E108" t="s">
        <v>1663</v>
      </c>
    </row>
    <row r="109" spans="1:5" x14ac:dyDescent="0.35">
      <c r="A109" t="str">
        <v xml:space="preserve">Kathryn Lasky </v>
      </c>
      <c r="B109" t="str">
        <f>books!B108</f>
        <v>Eva Ibbotson</v>
      </c>
    </row>
    <row r="110" spans="1:5" x14ac:dyDescent="0.35">
      <c r="A110" t="str">
        <v>Janai Lowenstein</v>
      </c>
      <c r="B110" t="str">
        <f>books!B109</f>
        <v xml:space="preserve">Kathryn Lasky </v>
      </c>
    </row>
    <row r="111" spans="1:5" x14ac:dyDescent="0.35">
      <c r="A111" t="str">
        <v>Richard Adams</v>
      </c>
      <c r="B111" t="str">
        <f>books!B110</f>
        <v>Janai Lowenstein</v>
      </c>
    </row>
    <row r="112" spans="1:5" x14ac:dyDescent="0.35">
      <c r="A112" t="str">
        <v>Maria Trapp</v>
      </c>
      <c r="B112" t="str">
        <f>books!B111</f>
        <v>Richard Adams</v>
      </c>
    </row>
    <row r="113" spans="1:13" x14ac:dyDescent="0.35">
      <c r="A113" t="str">
        <v>Patrick Carman</v>
      </c>
      <c r="B113" t="str">
        <f>books!B112</f>
        <v>Maria Trapp</v>
      </c>
    </row>
    <row r="114" spans="1:13" x14ac:dyDescent="0.35">
      <c r="A114" t="str">
        <v>John Flanagan</v>
      </c>
      <c r="B114" t="str">
        <f>books!B113</f>
        <v>Patrick Carman</v>
      </c>
    </row>
    <row r="115" spans="1:13" x14ac:dyDescent="0.35">
      <c r="A115" t="str">
        <v>Eoin Colfer</v>
      </c>
      <c r="B115" t="str">
        <f>books!B114</f>
        <v>John Flanagan</v>
      </c>
    </row>
    <row r="116" spans="1:13" x14ac:dyDescent="0.35">
      <c r="A116" t="str">
        <v>Catherine Fisher</v>
      </c>
      <c r="B116" t="str">
        <f>books!B115</f>
        <v>Eoin Colfer</v>
      </c>
    </row>
    <row r="117" spans="1:13" x14ac:dyDescent="0.35">
      <c r="A117" t="str">
        <v>Elizabeth Kay</v>
      </c>
      <c r="B117" t="str">
        <f>books!B116</f>
        <v>Catherine Fisher</v>
      </c>
    </row>
    <row r="118" spans="1:13" x14ac:dyDescent="0.35">
      <c r="A118" t="str">
        <v>Carole Wilkinson</v>
      </c>
      <c r="B118" t="str">
        <f>books!B117</f>
        <v>Elizabeth Kay</v>
      </c>
    </row>
    <row r="119" spans="1:13" x14ac:dyDescent="0.35">
      <c r="A119" t="str">
        <v>Scott Westerfeld</v>
      </c>
      <c r="B119" t="str">
        <f>books!B118</f>
        <v>Carole Wilkinson</v>
      </c>
    </row>
    <row r="120" spans="1:13" x14ac:dyDescent="0.35">
      <c r="A120" t="str">
        <v>Orson Scott Card</v>
      </c>
      <c r="B120" t="str">
        <f>books!B119</f>
        <v>Scott Westerfeld</v>
      </c>
      <c r="L120" t="s">
        <v>1693</v>
      </c>
      <c r="M120" t="s">
        <v>1617</v>
      </c>
    </row>
    <row r="121" spans="1:13" x14ac:dyDescent="0.35">
      <c r="A121" t="str">
        <v>Jeanne DuPrau</v>
      </c>
      <c r="B121" t="str">
        <f>books!B120</f>
        <v>Orson Scott Card</v>
      </c>
    </row>
    <row r="122" spans="1:13" x14ac:dyDescent="0.35">
      <c r="A122" t="str">
        <v>Harper Lee</v>
      </c>
      <c r="B122" t="str">
        <f>books!B121</f>
        <v>Jeanne DuPrau</v>
      </c>
    </row>
    <row r="123" spans="1:13" x14ac:dyDescent="0.35">
      <c r="A123" t="str">
        <v>Michael Scott</v>
      </c>
      <c r="B123" t="str">
        <f>books!B122</f>
        <v>Harper Lee</v>
      </c>
    </row>
    <row r="124" spans="1:13" x14ac:dyDescent="0.35">
      <c r="A124" t="str">
        <v>Lucy Montgomery</v>
      </c>
      <c r="B124" t="str">
        <f>books!B123</f>
        <v>Michael Scott</v>
      </c>
    </row>
    <row r="125" spans="1:13" x14ac:dyDescent="0.35">
      <c r="A125" t="str">
        <v>Bruce Coville</v>
      </c>
      <c r="B125" t="str">
        <f>books!B124</f>
        <v>Lucy Montgomery</v>
      </c>
    </row>
    <row r="126" spans="1:13" x14ac:dyDescent="0.35">
      <c r="A126" t="str">
        <v>Robert Stevenson</v>
      </c>
      <c r="B126" t="str">
        <f>books!B125</f>
        <v>Bruce Coville</v>
      </c>
    </row>
    <row r="127" spans="1:13" x14ac:dyDescent="0.35">
      <c r="A127" t="str">
        <v>Conor Kostick</v>
      </c>
      <c r="B127" t="str">
        <f>books!B126</f>
        <v>Robert Stevenson</v>
      </c>
    </row>
    <row r="128" spans="1:13" x14ac:dyDescent="0.35">
      <c r="A128" t="str">
        <v>Edward Eager</v>
      </c>
      <c r="B128" t="str">
        <f>books!B127</f>
        <v>Conor Kostick</v>
      </c>
    </row>
    <row r="129" spans="1:2" x14ac:dyDescent="0.35">
      <c r="A129" t="str">
        <v>Michael Grant</v>
      </c>
      <c r="B129" t="str">
        <f>books!B128</f>
        <v>Edward Eager</v>
      </c>
    </row>
    <row r="130" spans="1:2" x14ac:dyDescent="0.35">
      <c r="A130" t="str">
        <v>Jean George</v>
      </c>
      <c r="B130" t="str">
        <f>books!B129</f>
        <v>Michael Grant</v>
      </c>
    </row>
    <row r="131" spans="1:2" x14ac:dyDescent="0.35">
      <c r="A131" t="str">
        <v>Maia Wojciechowska</v>
      </c>
      <c r="B131" t="str">
        <f>books!B130</f>
        <v>Jean George</v>
      </c>
    </row>
    <row r="132" spans="1:2" x14ac:dyDescent="0.35">
      <c r="A132" t="str">
        <v>Jules Verne</v>
      </c>
      <c r="B132" t="str">
        <f>books!B131</f>
        <v>Maia Wojciechowska</v>
      </c>
    </row>
    <row r="133" spans="1:2" x14ac:dyDescent="0.35">
      <c r="A133" t="str">
        <v>William Bligh</v>
      </c>
      <c r="B133" t="str">
        <f>books!B132</f>
        <v>Jules Verne</v>
      </c>
    </row>
    <row r="134" spans="1:2" x14ac:dyDescent="0.35">
      <c r="A134" t="str">
        <v>Eisenberg</v>
      </c>
      <c r="B134" t="str">
        <f>books!B133</f>
        <v>William Bligh</v>
      </c>
    </row>
    <row r="135" spans="1:2" x14ac:dyDescent="0.35">
      <c r="A135" t="str">
        <v>Edith Hamilton</v>
      </c>
      <c r="B135" t="str">
        <f>books!B134</f>
        <v>Eisenberg</v>
      </c>
    </row>
    <row r="136" spans="1:2" x14ac:dyDescent="0.35">
      <c r="A136" t="str">
        <v>Tom Clancy</v>
      </c>
      <c r="B136" t="str">
        <f>books!B135</f>
        <v>Edith Hamilton</v>
      </c>
    </row>
    <row r="137" spans="1:2" x14ac:dyDescent="0.35">
      <c r="A137" t="str">
        <v>Mark Walden</v>
      </c>
      <c r="B137" t="str">
        <f>books!B136</f>
        <v>Tom Clancy</v>
      </c>
    </row>
    <row r="138" spans="1:2" x14ac:dyDescent="0.35">
      <c r="A138" t="str">
        <v>Elizabeth Winthrop</v>
      </c>
      <c r="B138" t="str">
        <f>books!B137</f>
        <v>Mark Walden</v>
      </c>
    </row>
    <row r="139" spans="1:2" x14ac:dyDescent="0.35">
      <c r="A139" t="str">
        <v>Jane Conly</v>
      </c>
      <c r="B139" t="str">
        <f>books!B138</f>
        <v>Elizabeth Winthrop</v>
      </c>
    </row>
    <row r="140" spans="1:2" x14ac:dyDescent="0.35">
      <c r="A140" t="str">
        <v>Jack London</v>
      </c>
      <c r="B140" t="str">
        <f>books!B139</f>
        <v>Jane Conly</v>
      </c>
    </row>
    <row r="141" spans="1:2" x14ac:dyDescent="0.35">
      <c r="A141" t="str">
        <v>F. Scott Fitzgerald</v>
      </c>
      <c r="B141" t="str">
        <f>books!B140</f>
        <v>Jack London</v>
      </c>
    </row>
    <row r="142" spans="1:2" x14ac:dyDescent="0.35">
      <c r="A142" t="str">
        <v>Lousia May Alcott</v>
      </c>
      <c r="B142" t="str">
        <f>books!B141</f>
        <v>F. Scott Fitzgerald</v>
      </c>
    </row>
    <row r="143" spans="1:2" x14ac:dyDescent="0.35">
      <c r="A143" t="str">
        <v>Margaret Mitchell</v>
      </c>
      <c r="B143" t="str">
        <f>books!B142</f>
        <v>Lousia May Alcott</v>
      </c>
    </row>
    <row r="144" spans="1:2" x14ac:dyDescent="0.35">
      <c r="A144" t="str">
        <v>Mildred Taylor</v>
      </c>
      <c r="B144" t="str">
        <f>books!B143</f>
        <v>Margaret Mitchell</v>
      </c>
    </row>
    <row r="145" spans="1:2" x14ac:dyDescent="0.35">
      <c r="A145" t="str">
        <v>Sandra Cisneros</v>
      </c>
      <c r="B145" t="str">
        <f>books!B144</f>
        <v>Mildred Taylor</v>
      </c>
    </row>
    <row r="146" spans="1:2" x14ac:dyDescent="0.35">
      <c r="A146" t="str">
        <v>James Cooper</v>
      </c>
      <c r="B146" t="str">
        <f>books!B145</f>
        <v>Sandra Cisneros</v>
      </c>
    </row>
    <row r="147" spans="1:2" x14ac:dyDescent="0.35">
      <c r="A147" t="str">
        <v>Karen Hesse</v>
      </c>
      <c r="B147" t="str">
        <f>books!B146</f>
        <v>James Cooper</v>
      </c>
    </row>
    <row r="148" spans="1:2" x14ac:dyDescent="0.35">
      <c r="A148" t="str">
        <v>Hugh Lofting</v>
      </c>
      <c r="B148" t="str">
        <f>books!B147</f>
        <v>Karen Hesse</v>
      </c>
    </row>
    <row r="149" spans="1:2" x14ac:dyDescent="0.35">
      <c r="A149" t="str">
        <v>New Scientist</v>
      </c>
      <c r="B149" t="str">
        <f>books!B148</f>
        <v>Hugh Lofting</v>
      </c>
    </row>
    <row r="150" spans="1:2" x14ac:dyDescent="0.35">
      <c r="A150" t="str">
        <v>Padraic Colum</v>
      </c>
      <c r="B150" t="str">
        <f>books!B149</f>
        <v>New Scientist</v>
      </c>
    </row>
    <row r="151" spans="1:2" x14ac:dyDescent="0.35">
      <c r="A151" t="str">
        <v>Dorothy Haas</v>
      </c>
      <c r="B151" t="str">
        <f>books!B150</f>
        <v>Padraic Colum</v>
      </c>
    </row>
    <row r="152" spans="1:2" x14ac:dyDescent="0.35">
      <c r="A152" t="str">
        <v>Tony Hillerman</v>
      </c>
      <c r="B152" t="str">
        <f>books!B151</f>
        <v>Dorothy Haas</v>
      </c>
    </row>
    <row r="153" spans="1:2" x14ac:dyDescent="0.35">
      <c r="A153" t="str">
        <v>Dick King-Smith</v>
      </c>
      <c r="B153" t="str">
        <f>books!B152</f>
        <v>Tony Hillerman</v>
      </c>
    </row>
    <row r="154" spans="1:2" x14ac:dyDescent="0.35">
      <c r="A154" t="str">
        <v>Bertrand Brinley</v>
      </c>
      <c r="B154" t="str">
        <f>books!B153</f>
        <v>Dick King-Smith</v>
      </c>
    </row>
    <row r="155" spans="1:2" x14ac:dyDescent="0.35">
      <c r="A155" t="str">
        <v>Mary Dodge</v>
      </c>
      <c r="B155" t="str">
        <f>books!B154</f>
        <v>Bertrand Brinley</v>
      </c>
    </row>
    <row r="156" spans="1:2" x14ac:dyDescent="0.35">
      <c r="A156" t="str">
        <v>Eve Curie</v>
      </c>
      <c r="B156" t="str">
        <f>books!B155</f>
        <v>Mary Dodge</v>
      </c>
    </row>
    <row r="157" spans="1:2" x14ac:dyDescent="0.35">
      <c r="A157" t="str">
        <v>C.S. Forester</v>
      </c>
      <c r="B157" t="str">
        <f>books!B156</f>
        <v>Eve Curie</v>
      </c>
    </row>
    <row r="158" spans="1:2" x14ac:dyDescent="0.35">
      <c r="A158" t="str">
        <v>Daniel Defoe</v>
      </c>
      <c r="B158" t="str">
        <f>books!B157</f>
        <v>C.S. Forester</v>
      </c>
    </row>
    <row r="159" spans="1:2" x14ac:dyDescent="0.35">
      <c r="A159" t="str">
        <v>Rudyard Kipling</v>
      </c>
      <c r="B159" t="str">
        <f>books!B158</f>
        <v>Daniel Defoe</v>
      </c>
    </row>
    <row r="160" spans="1:2" x14ac:dyDescent="0.35">
      <c r="A160" t="str">
        <v>Helen Keller</v>
      </c>
      <c r="B160" t="str">
        <f>books!B159</f>
        <v>Rudyard Kipling</v>
      </c>
    </row>
    <row r="161" spans="1:2" x14ac:dyDescent="0.35">
      <c r="A161" t="str">
        <v>Kate Thompson</v>
      </c>
      <c r="B161" t="str">
        <f>books!B160</f>
        <v>Helen Keller</v>
      </c>
    </row>
    <row r="162" spans="1:2" x14ac:dyDescent="0.35">
      <c r="A162" t="str">
        <v>Milton Meltzer</v>
      </c>
      <c r="B162" t="str">
        <f>books!B161</f>
        <v>Kate Thompson</v>
      </c>
    </row>
    <row r="163" spans="1:2" x14ac:dyDescent="0.35">
      <c r="A163" t="str">
        <v>Douglas Adams</v>
      </c>
      <c r="B163" t="str">
        <f>books!B162</f>
        <v>Milton Meltzer</v>
      </c>
    </row>
    <row r="164" spans="1:2" x14ac:dyDescent="0.35">
      <c r="A164" t="str">
        <v>Jonathon Swift</v>
      </c>
      <c r="B164" t="str">
        <f>books!B163</f>
        <v>Douglas Adams</v>
      </c>
    </row>
    <row r="165" spans="1:2" x14ac:dyDescent="0.35">
      <c r="A165" t="str">
        <v>Jerry Spinelli</v>
      </c>
      <c r="B165" t="str">
        <f>books!B164</f>
        <v>Jonathon Swift</v>
      </c>
    </row>
    <row r="166" spans="1:2" x14ac:dyDescent="0.35">
      <c r="A166" t="str">
        <v>Scott O'Dell</v>
      </c>
      <c r="B166" t="str">
        <f>books!B165</f>
        <v>Jerry Spinelli</v>
      </c>
    </row>
    <row r="167" spans="1:2" x14ac:dyDescent="0.35">
      <c r="A167" t="str">
        <v>Louis Sachar</v>
      </c>
      <c r="B167" t="str">
        <f>books!B166</f>
        <v>Scott O'Dell</v>
      </c>
    </row>
    <row r="168" spans="1:2" x14ac:dyDescent="0.35">
      <c r="A168" t="str">
        <v>Patricia Maclachlan</v>
      </c>
      <c r="B168" t="str">
        <f>books!B167</f>
        <v>Louis Sachar</v>
      </c>
    </row>
    <row r="169" spans="1:2" x14ac:dyDescent="0.35">
      <c r="A169" t="str">
        <v>Elizabeth George</v>
      </c>
      <c r="B169" t="str">
        <f>books!B168</f>
        <v>Patricia Maclachlan</v>
      </c>
    </row>
    <row r="170" spans="1:2" x14ac:dyDescent="0.35">
      <c r="A170" t="str">
        <v>Kate DiCamillo</v>
      </c>
      <c r="B170" t="str">
        <f>books!B169</f>
        <v>Elizabeth George</v>
      </c>
    </row>
    <row r="171" spans="1:2" x14ac:dyDescent="0.35">
      <c r="A171" t="str">
        <v>Polly Horvath</v>
      </c>
      <c r="B171" t="str">
        <f>books!B170</f>
        <v>Kate DiCamillo</v>
      </c>
    </row>
    <row r="172" spans="1:2" x14ac:dyDescent="0.35">
      <c r="A172" t="str">
        <v>Stephanie S. Tolan</v>
      </c>
      <c r="B172" t="str">
        <f>books!B171</f>
        <v>Polly Horvath</v>
      </c>
    </row>
    <row r="173" spans="1:2" x14ac:dyDescent="0.35">
      <c r="A173" t="str">
        <v>Sharon Creech</v>
      </c>
      <c r="B173" t="str">
        <f>books!B172</f>
        <v>Stephanie S. Tolan</v>
      </c>
    </row>
    <row r="174" spans="1:2" x14ac:dyDescent="0.35">
      <c r="A174" t="str">
        <v>Gail Levine</v>
      </c>
      <c r="B174" t="str">
        <f>books!B173</f>
        <v>Sharon Creech</v>
      </c>
    </row>
    <row r="175" spans="1:2" x14ac:dyDescent="0.35">
      <c r="A175" t="str">
        <v>Eloise McGraw</v>
      </c>
      <c r="B175" t="str">
        <f>books!B174</f>
        <v>Gail Levine</v>
      </c>
    </row>
    <row r="176" spans="1:2" x14ac:dyDescent="0.35">
      <c r="A176" t="str">
        <v>Elizabeth Speare</v>
      </c>
      <c r="B176" t="str">
        <f>books!B175</f>
        <v>Eloise McGraw</v>
      </c>
    </row>
    <row r="177" spans="1:2" x14ac:dyDescent="0.35">
      <c r="A177" t="str">
        <v>Cynthia Voigt</v>
      </c>
      <c r="B177" t="str">
        <f>books!B176</f>
        <v>Elizabeth Speare</v>
      </c>
    </row>
    <row r="178" spans="1:2" x14ac:dyDescent="0.35">
      <c r="A178" t="str">
        <v>Betsy Byars</v>
      </c>
      <c r="B178" t="str">
        <f>books!B177</f>
        <v>Cynthia Voigt</v>
      </c>
    </row>
    <row r="179" spans="1:2" x14ac:dyDescent="0.35">
      <c r="A179" t="str">
        <v>Lloyd Alexander</v>
      </c>
      <c r="B179" t="str">
        <f>books!B178</f>
        <v>Betsy Byars</v>
      </c>
    </row>
    <row r="180" spans="1:2" x14ac:dyDescent="0.35">
      <c r="A180" t="str">
        <v>George Orwell</v>
      </c>
      <c r="B180" t="str">
        <f>books!B179</f>
        <v>Lloyd Alexander</v>
      </c>
    </row>
    <row r="181" spans="1:2" x14ac:dyDescent="0.35">
      <c r="A181" t="str">
        <v>Terry Pratchett</v>
      </c>
      <c r="B181" t="str">
        <f>books!B180</f>
        <v>George Orwell</v>
      </c>
    </row>
    <row r="182" spans="1:2" x14ac:dyDescent="0.35">
      <c r="A182" t="str">
        <v>Natalie Savage</v>
      </c>
      <c r="B182" t="str">
        <f>books!B181</f>
        <v>Terry Pratchett</v>
      </c>
    </row>
    <row r="183" spans="1:2" x14ac:dyDescent="0.35">
      <c r="A183" t="str">
        <v>Meindert DeJong</v>
      </c>
      <c r="B183" t="str">
        <f>books!B182</f>
        <v>Natalie Savage</v>
      </c>
    </row>
    <row r="184" spans="1:2" x14ac:dyDescent="0.35">
      <c r="A184" t="str">
        <v>E.B. White</v>
      </c>
      <c r="B184" t="str">
        <f>books!B183</f>
        <v>Meindert DeJong</v>
      </c>
    </row>
    <row r="185" spans="1:2" x14ac:dyDescent="0.35">
      <c r="A185" t="str">
        <v>E. Nesbit</v>
      </c>
      <c r="B185" t="str">
        <f>books!B184</f>
        <v>E.B. White</v>
      </c>
    </row>
    <row r="186" spans="1:2" x14ac:dyDescent="0.35">
      <c r="A186" t="str">
        <v>Ruth Gannett</v>
      </c>
      <c r="B186" t="str">
        <f>books!B185</f>
        <v>E. Nesbit</v>
      </c>
    </row>
    <row r="187" spans="1:2" x14ac:dyDescent="0.35">
      <c r="A187" t="str">
        <v>Will James</v>
      </c>
      <c r="B187" t="str">
        <f>books!B186</f>
        <v>Ruth Gannett</v>
      </c>
    </row>
    <row r="188" spans="1:2" x14ac:dyDescent="0.35">
      <c r="A188" t="str">
        <v>David Goding</v>
      </c>
      <c r="B188" t="str">
        <f>books!B187</f>
        <v>Will James</v>
      </c>
    </row>
    <row r="189" spans="1:2" x14ac:dyDescent="0.35">
      <c r="A189" t="str">
        <v>Jay Thomas</v>
      </c>
      <c r="B189" t="str">
        <f>books!B188</f>
        <v>David Goding</v>
      </c>
    </row>
    <row r="190" spans="1:2" x14ac:dyDescent="0.35">
      <c r="A190" t="str">
        <v>Shel Silverstien</v>
      </c>
      <c r="B190" t="str">
        <f>books!B189</f>
        <v>Jay Thomas</v>
      </c>
    </row>
    <row r="191" spans="1:2" x14ac:dyDescent="0.35">
      <c r="A191" t="str">
        <v>Ryan Messmore</v>
      </c>
      <c r="B191" t="str">
        <f>books!B190</f>
        <v>Shel Silverstien</v>
      </c>
    </row>
    <row r="192" spans="1:2" x14ac:dyDescent="0.35">
      <c r="A192" t="str">
        <v>Greg Stier</v>
      </c>
      <c r="B192" t="str">
        <f>books!B191</f>
        <v>Ryan Messmore</v>
      </c>
    </row>
    <row r="193" spans="1:3" x14ac:dyDescent="0.35">
      <c r="A193" t="str">
        <v>Walter Farley</v>
      </c>
      <c r="B193" t="str">
        <f>books!B192</f>
        <v>Greg Stier</v>
      </c>
    </row>
    <row r="194" spans="1:3" x14ac:dyDescent="0.35">
      <c r="A194" t="str">
        <v>Laura Hope</v>
      </c>
      <c r="B194" t="str">
        <f>books!B193</f>
        <v>Walter Farley</v>
      </c>
    </row>
    <row r="195" spans="1:3" x14ac:dyDescent="0.35">
      <c r="A195" t="str">
        <v>Homer</v>
      </c>
      <c r="B195" t="str">
        <f>books!B194</f>
        <v>Laura Hope</v>
      </c>
    </row>
    <row r="196" spans="1:3" x14ac:dyDescent="0.35">
      <c r="A196" t="str">
        <v>Lewis Carroll</v>
      </c>
      <c r="B196" t="e">
        <f>books!#REF!</f>
        <v>#REF!</v>
      </c>
    </row>
    <row r="197" spans="1:3" x14ac:dyDescent="0.35">
      <c r="A197" t="str">
        <v>Franz Kafka</v>
      </c>
      <c r="B197" t="str">
        <f>books!B195</f>
        <v>Homer</v>
      </c>
    </row>
    <row r="198" spans="1:3" x14ac:dyDescent="0.35">
      <c r="A198" t="str">
        <v>Anonymous</v>
      </c>
      <c r="B198" t="e">
        <f>books!#REF!</f>
        <v>#REF!</v>
      </c>
    </row>
    <row r="199" spans="1:3" x14ac:dyDescent="0.35">
      <c r="A199" t="str">
        <v>Johann von Goethe</v>
      </c>
      <c r="B199" t="str">
        <f>books!B196</f>
        <v>Lewis Carroll</v>
      </c>
    </row>
    <row r="200" spans="1:3" x14ac:dyDescent="0.35">
      <c r="A200" t="str">
        <v>Brothers Grimm</v>
      </c>
      <c r="B200" t="str">
        <f>books!B197</f>
        <v>Franz Kafka</v>
      </c>
    </row>
    <row r="201" spans="1:3" x14ac:dyDescent="0.35">
      <c r="A201" t="str">
        <v>Joseph Conrad</v>
      </c>
      <c r="B201" t="str">
        <f>books!B198</f>
        <v>Anonymous</v>
      </c>
    </row>
    <row r="202" spans="1:3" x14ac:dyDescent="0.35">
      <c r="A202" t="str">
        <v>Johanna Spyri</v>
      </c>
      <c r="B202" t="str">
        <f>books!B199</f>
        <v>Johann von Goethe</v>
      </c>
    </row>
    <row r="203" spans="1:3" x14ac:dyDescent="0.35">
      <c r="A203" t="str">
        <v>Harriet Stowe</v>
      </c>
      <c r="B203" t="str">
        <f>books!B200</f>
        <v>Brothers Grimm</v>
      </c>
    </row>
    <row r="204" spans="1:3" x14ac:dyDescent="0.35">
      <c r="A204" t="str">
        <v>Alison Goodman</v>
      </c>
      <c r="B204" t="str">
        <f>books!B201</f>
        <v>Joseph Conrad</v>
      </c>
    </row>
    <row r="205" spans="1:3" x14ac:dyDescent="0.35">
      <c r="A205" t="str">
        <v>Margery Williams</v>
      </c>
      <c r="B205" t="str">
        <f>books!B202</f>
        <v>Johanna Spyri</v>
      </c>
    </row>
    <row r="206" spans="1:3" x14ac:dyDescent="0.35">
      <c r="A206" t="str">
        <v>Antoine de Saint-Exupery</v>
      </c>
      <c r="B206" t="str">
        <f>books!B203</f>
        <v>Harriet Stowe</v>
      </c>
    </row>
    <row r="207" spans="1:3" x14ac:dyDescent="0.35">
      <c r="A207" t="str">
        <v>Joseph Bruchac</v>
      </c>
      <c r="B207" t="str">
        <f>books!B204</f>
        <v>Alison Goodman</v>
      </c>
    </row>
    <row r="208" spans="1:3" x14ac:dyDescent="0.35">
      <c r="A208" t="str">
        <v>William Sleator</v>
      </c>
      <c r="B208" t="str">
        <f>books!B205</f>
        <v>Margery Williams</v>
      </c>
      <c r="C208" t="s">
        <v>1665</v>
      </c>
    </row>
    <row r="209" spans="1:2" x14ac:dyDescent="0.35">
      <c r="A209" t="str">
        <v>Mary Norton</v>
      </c>
      <c r="B209" t="str">
        <f>books!B206</f>
        <v>Antoine de Saint-Exupery</v>
      </c>
    </row>
    <row r="210" spans="1:2" x14ac:dyDescent="0.35">
      <c r="A210" t="str">
        <v>Carlo Collodi</v>
      </c>
      <c r="B210" t="str">
        <f>books!B207</f>
        <v>Joseph Bruchac</v>
      </c>
    </row>
    <row r="211" spans="1:2" x14ac:dyDescent="0.35">
      <c r="A211" t="str">
        <v>P.L. Travers</v>
      </c>
      <c r="B211" t="str">
        <f>books!B208</f>
        <v>William Sleator</v>
      </c>
    </row>
    <row r="212" spans="1:2" x14ac:dyDescent="0.35">
      <c r="A212" t="str">
        <v>Natalie Babbitt</v>
      </c>
      <c r="B212" t="str">
        <f>books!B209</f>
        <v>Mary Norton</v>
      </c>
    </row>
    <row r="213" spans="1:2" x14ac:dyDescent="0.35">
      <c r="A213" t="str">
        <v>Steve Corbett &amp; Brian Fikkert</v>
      </c>
      <c r="B213" t="str">
        <f>books!B210</f>
        <v>Carlo Collodi</v>
      </c>
    </row>
    <row r="214" spans="1:2" x14ac:dyDescent="0.35">
      <c r="A214" t="str">
        <v>Mike Lupica</v>
      </c>
      <c r="B214" t="str">
        <f>books!B211</f>
        <v>P.L. Travers</v>
      </c>
    </row>
    <row r="215" spans="1:2" x14ac:dyDescent="0.35">
      <c r="A215" t="str">
        <v>Elliot Coleman</v>
      </c>
      <c r="B215" t="str">
        <f>books!B212</f>
        <v>Natalie Babbitt</v>
      </c>
    </row>
    <row r="216" spans="1:2" x14ac:dyDescent="0.35">
      <c r="A216" t="str">
        <v>Women of China</v>
      </c>
      <c r="B216" t="str">
        <f>books!B213</f>
        <v>Steve Corbett &amp; Brian Fikkert</v>
      </c>
    </row>
    <row r="217" spans="1:2" x14ac:dyDescent="0.35">
      <c r="A217" t="str">
        <v>Jimmy Williams &amp; Susan Heeger</v>
      </c>
      <c r="B217" t="str">
        <f>books!B214</f>
        <v>Mike Lupica</v>
      </c>
    </row>
    <row r="218" spans="1:2" x14ac:dyDescent="0.35">
      <c r="A218" t="str">
        <v>William Danforth</v>
      </c>
      <c r="B218" t="str">
        <f>books!B215</f>
        <v>Elliot Coleman</v>
      </c>
    </row>
    <row r="219" spans="1:2" x14ac:dyDescent="0.35">
      <c r="A219" t="str">
        <v>Edward Bloor</v>
      </c>
      <c r="B219" t="str">
        <f>books!B216</f>
        <v>Women of China</v>
      </c>
    </row>
    <row r="220" spans="1:2" x14ac:dyDescent="0.35">
      <c r="A220" t="str">
        <v>Ernest Cline</v>
      </c>
      <c r="B220" t="str">
        <f>books!B217</f>
        <v>Jimmy Williams &amp; Susan Heeger</v>
      </c>
    </row>
    <row r="221" spans="1:2" x14ac:dyDescent="0.35">
      <c r="A221" t="str">
        <v>Dan Gutman</v>
      </c>
      <c r="B221" t="str">
        <f>books!B218</f>
        <v>William Danforth</v>
      </c>
    </row>
    <row r="222" spans="1:2" x14ac:dyDescent="0.35">
      <c r="A222" t="str">
        <v>Ben Mikaelsen</v>
      </c>
      <c r="B222" t="str">
        <f>books!B219</f>
        <v>Edward Bloor</v>
      </c>
    </row>
    <row r="223" spans="1:2" x14ac:dyDescent="0.35">
      <c r="A223" t="str">
        <v>Clarissa Estes</v>
      </c>
      <c r="B223" t="str">
        <f>books!B220</f>
        <v>Ernest Cline</v>
      </c>
    </row>
    <row r="224" spans="1:2" x14ac:dyDescent="0.35">
      <c r="A224" t="str">
        <v>Rafe Martin &amp; Susan Gaber</v>
      </c>
      <c r="B224" t="str">
        <f>books!B221</f>
        <v>Dan Gutman</v>
      </c>
    </row>
    <row r="225" spans="1:6" x14ac:dyDescent="0.35">
      <c r="A225" t="str">
        <v>Jane Yolen</v>
      </c>
      <c r="B225" t="str">
        <f>books!B222</f>
        <v>Ben Mikaelsen</v>
      </c>
    </row>
    <row r="226" spans="1:6" x14ac:dyDescent="0.35">
      <c r="A226" t="str">
        <v>Avi</v>
      </c>
      <c r="B226" t="str">
        <f>books!B223</f>
        <v>Clarissa Estes</v>
      </c>
      <c r="F226" t="s">
        <v>1728</v>
      </c>
    </row>
    <row r="227" spans="1:6" x14ac:dyDescent="0.35">
      <c r="A227" t="str">
        <v>Susan Sloate</v>
      </c>
      <c r="B227" t="str">
        <f>books!B224</f>
        <v>Rafe Martin &amp; Susan Gaber</v>
      </c>
    </row>
    <row r="228" spans="1:6" x14ac:dyDescent="0.35">
      <c r="A228" t="str">
        <v>Eleanor Coerr</v>
      </c>
      <c r="B228" t="str">
        <f>books!B225</f>
        <v>Jane Yolen</v>
      </c>
    </row>
    <row r="229" spans="1:6" x14ac:dyDescent="0.35">
      <c r="A229" t="str">
        <v>William Bridges</v>
      </c>
      <c r="B229" t="str">
        <f>books!B226</f>
        <v>Avi</v>
      </c>
    </row>
    <row r="230" spans="1:6" x14ac:dyDescent="0.35">
      <c r="A230" t="str">
        <v>Steve Shadrach</v>
      </c>
      <c r="B230" t="str">
        <f>books!B227</f>
        <v>Susan Sloate</v>
      </c>
    </row>
    <row r="231" spans="1:6" x14ac:dyDescent="0.35">
      <c r="A231" t="str">
        <v>R.M. Frazer</v>
      </c>
      <c r="B231" t="str">
        <f>books!B228</f>
        <v>Eleanor Coerr</v>
      </c>
    </row>
    <row r="232" spans="1:6" x14ac:dyDescent="0.35">
      <c r="A232" t="str">
        <v>Frances Goodrich</v>
      </c>
      <c r="B232" t="str">
        <f>books!B229</f>
        <v>William Bridges</v>
      </c>
    </row>
    <row r="233" spans="1:6" x14ac:dyDescent="0.35">
      <c r="A233" t="str">
        <v>Enid Bagnold</v>
      </c>
      <c r="B233" t="str">
        <f>books!B230</f>
        <v>Steve Shadrach</v>
      </c>
    </row>
    <row r="234" spans="1:6" x14ac:dyDescent="0.35">
      <c r="A234" t="str">
        <v>Florence Sakade</v>
      </c>
      <c r="B234" t="str">
        <f>books!B231</f>
        <v>R.M. Frazer</v>
      </c>
    </row>
    <row r="235" spans="1:6" x14ac:dyDescent="0.35">
      <c r="A235" t="str">
        <v>Lauren Mills</v>
      </c>
      <c r="B235" t="str">
        <f>books!B232</f>
        <v>Frances Goodrich</v>
      </c>
    </row>
    <row r="236" spans="1:6" x14ac:dyDescent="0.35">
      <c r="A236" t="str">
        <v>Jim Murphy</v>
      </c>
      <c r="B236" t="e">
        <f>books!#REF!</f>
        <v>#REF!</v>
      </c>
    </row>
    <row r="237" spans="1:6" x14ac:dyDescent="0.35">
      <c r="A237" t="str">
        <v>Lois Leppard</v>
      </c>
      <c r="B237" t="str">
        <f>books!B233</f>
        <v>Enid Bagnold</v>
      </c>
    </row>
    <row r="238" spans="1:6" x14ac:dyDescent="0.35">
      <c r="A238" t="str">
        <v>Astrid Lindgren</v>
      </c>
      <c r="B238" t="str">
        <f>books!B234</f>
        <v>Florence Sakade</v>
      </c>
    </row>
    <row r="239" spans="1:6" x14ac:dyDescent="0.35">
      <c r="A239" t="str">
        <v>Elizaberth Lewis</v>
      </c>
      <c r="B239" t="str">
        <f>books!B235</f>
        <v>Lauren Mills</v>
      </c>
    </row>
    <row r="240" spans="1:6" x14ac:dyDescent="0.35">
      <c r="A240" t="str">
        <v>Stephen Meader</v>
      </c>
      <c r="B240" t="str">
        <f>books!B236</f>
        <v>Jim Murphy</v>
      </c>
    </row>
    <row r="241" spans="1:2" x14ac:dyDescent="0.35">
      <c r="A241" t="str">
        <v>Elvira Woodruff</v>
      </c>
      <c r="B241" t="str">
        <f>books!B237</f>
        <v>Lois Leppard</v>
      </c>
    </row>
    <row r="242" spans="1:2" x14ac:dyDescent="0.35">
      <c r="A242" t="str">
        <v>E.C. Forster &amp; Slim Williams</v>
      </c>
      <c r="B242" t="str">
        <f>books!B238</f>
        <v>Astrid Lindgren</v>
      </c>
    </row>
    <row r="243" spans="1:2" x14ac:dyDescent="0.35">
      <c r="A243" t="str">
        <v>Harriette Robinet</v>
      </c>
      <c r="B243" t="str">
        <f>books!B239</f>
        <v>Elizaberth Lewis</v>
      </c>
    </row>
    <row r="244" spans="1:2" x14ac:dyDescent="0.35">
      <c r="A244" t="str">
        <v>Janwillem van de Wetering</v>
      </c>
      <c r="B244" t="str">
        <f>books!B240</f>
        <v>Stephen Meader</v>
      </c>
    </row>
    <row r="245" spans="1:2" x14ac:dyDescent="0.35">
      <c r="A245" t="str">
        <v>Debbie Dadey &amp; Marcia Jones</v>
      </c>
      <c r="B245" t="str">
        <f>books!B241</f>
        <v>Elvira Woodruff</v>
      </c>
    </row>
    <row r="246" spans="1:2" x14ac:dyDescent="0.35">
      <c r="A246" t="str">
        <v>Carolyn Haywood</v>
      </c>
      <c r="B246" t="str">
        <f>books!B242</f>
        <v>E.C. Forster &amp; Slim Williams</v>
      </c>
    </row>
    <row r="247" spans="1:2" x14ac:dyDescent="0.35">
      <c r="A247" t="str">
        <v>Jean Ure</v>
      </c>
      <c r="B247" t="str">
        <f>books!B243</f>
        <v>Harriette Robinet</v>
      </c>
    </row>
    <row r="248" spans="1:2" x14ac:dyDescent="0.35">
      <c r="A248" t="str">
        <v>Yoshiko Uchida</v>
      </c>
      <c r="B248" t="str">
        <f>books!B244</f>
        <v>Janwillem van de Wetering</v>
      </c>
    </row>
    <row r="249" spans="1:2" x14ac:dyDescent="0.35">
      <c r="A249" t="str">
        <v>Janet Lisle</v>
      </c>
      <c r="B249" t="str">
        <f>books!B245</f>
        <v>Debbie Dadey &amp; Marcia Jones</v>
      </c>
    </row>
    <row r="250" spans="1:2" x14ac:dyDescent="0.35">
      <c r="A250" t="str">
        <v>Patricia Giff</v>
      </c>
      <c r="B250" t="str">
        <f>books!B246</f>
        <v>Carolyn Haywood</v>
      </c>
    </row>
    <row r="251" spans="1:2" x14ac:dyDescent="0.35">
      <c r="A251" t="str">
        <v>Carl Hiaasen</v>
      </c>
      <c r="B251" t="str">
        <f>books!B247</f>
        <v>Jean Ure</v>
      </c>
    </row>
    <row r="252" spans="1:2" x14ac:dyDescent="0.35">
      <c r="A252" t="str">
        <v>Debra Seely</v>
      </c>
      <c r="B252" t="str">
        <f>books!B248</f>
        <v>Yoshiko Uchida</v>
      </c>
    </row>
    <row r="253" spans="1:2" x14ac:dyDescent="0.35">
      <c r="A253" t="str">
        <v>Doris Schroder</v>
      </c>
      <c r="B253" t="str">
        <f>books!B249</f>
        <v>Janet Lisle</v>
      </c>
    </row>
    <row r="254" spans="1:2" x14ac:dyDescent="0.35">
      <c r="A254" t="str">
        <v>Jeffrey Dean &amp; Robby McGee</v>
      </c>
      <c r="B254" t="str">
        <f>books!B250</f>
        <v>Patricia Giff</v>
      </c>
    </row>
    <row r="255" spans="1:2" x14ac:dyDescent="0.35">
      <c r="A255" t="str">
        <v>Marguerite De Angel</v>
      </c>
      <c r="B255" t="str">
        <f>books!B251</f>
        <v>Carl Hiaasen</v>
      </c>
    </row>
    <row r="256" spans="1:2" x14ac:dyDescent="0.35">
      <c r="A256" t="str">
        <v>T.A. Barron</v>
      </c>
      <c r="B256" t="str">
        <f>books!B252</f>
        <v>Debra Seely</v>
      </c>
    </row>
    <row r="257" spans="1:4" x14ac:dyDescent="0.35">
      <c r="A257" t="str">
        <v>Geri Keams</v>
      </c>
      <c r="B257" t="str">
        <f>books!B253</f>
        <v>Doris Schroder</v>
      </c>
    </row>
    <row r="258" spans="1:4" x14ac:dyDescent="0.35">
      <c r="A258" t="str">
        <v>Sarah Kilborne</v>
      </c>
      <c r="B258" t="str">
        <f>books!B254</f>
        <v>Jeffrey Dean &amp; Robby McGee</v>
      </c>
    </row>
    <row r="259" spans="1:4" x14ac:dyDescent="0.35">
      <c r="A259" t="str">
        <v>Gayle Ross &amp; Murv Jacob</v>
      </c>
      <c r="B259" t="e">
        <f>books!#REF!</f>
        <v>#REF!</v>
      </c>
    </row>
    <row r="260" spans="1:4" x14ac:dyDescent="0.35">
      <c r="A260" t="str">
        <v>Kurt Vonnegut</v>
      </c>
      <c r="B260" t="str">
        <f>books!B255</f>
        <v>Marguerite De Angel</v>
      </c>
      <c r="D260" t="s">
        <v>1737</v>
      </c>
    </row>
    <row r="261" spans="1:4" x14ac:dyDescent="0.35">
      <c r="A261" t="str">
        <v>Brian Selznick</v>
      </c>
      <c r="B261" t="str">
        <f>books!B256</f>
        <v>T.A. Barron</v>
      </c>
    </row>
    <row r="262" spans="1:4" x14ac:dyDescent="0.35">
      <c r="A262" t="str">
        <v>Eoin McNamee</v>
      </c>
      <c r="B262" t="str">
        <f>books!B257</f>
        <v>Geri Keams</v>
      </c>
    </row>
    <row r="263" spans="1:4" x14ac:dyDescent="0.35">
      <c r="A263" t="str">
        <v>Jack Canfield</v>
      </c>
      <c r="B263" t="str">
        <f>books!B258</f>
        <v>Sarah Kilborne</v>
      </c>
    </row>
    <row r="264" spans="1:4" x14ac:dyDescent="0.35">
      <c r="A264" t="str">
        <v>Williams Durbin</v>
      </c>
      <c r="B264" t="str">
        <f>books!B259</f>
        <v>Gayle Ross &amp; Murv Jacob</v>
      </c>
    </row>
    <row r="265" spans="1:4" x14ac:dyDescent="0.35">
      <c r="A265" t="str">
        <v>N.D. Wilson</v>
      </c>
      <c r="B265" t="str">
        <f>books!B260</f>
        <v>Kurt Vonnegut</v>
      </c>
    </row>
    <row r="266" spans="1:4" x14ac:dyDescent="0.35">
      <c r="A266" t="str">
        <v>Roland Smith</v>
      </c>
      <c r="B266" t="str">
        <f>books!B261</f>
        <v>Brian Selznick</v>
      </c>
    </row>
    <row r="267" spans="1:4" x14ac:dyDescent="0.35">
      <c r="A267" t="str">
        <v>Kevin Crossley-Holland</v>
      </c>
      <c r="B267" t="str">
        <f>books!B262</f>
        <v>Eoin McNamee</v>
      </c>
    </row>
    <row r="268" spans="1:4" x14ac:dyDescent="0.35">
      <c r="A268" t="str">
        <v>Pittacus Lore</v>
      </c>
      <c r="B268" t="str">
        <f>books!B263</f>
        <v>Jack Canfield</v>
      </c>
    </row>
    <row r="269" spans="1:4" x14ac:dyDescent="0.35">
      <c r="A269" t="str">
        <v>Michael Reisman</v>
      </c>
      <c r="B269" t="str">
        <f>books!B264</f>
        <v>Williams Durbin</v>
      </c>
    </row>
    <row r="270" spans="1:4" x14ac:dyDescent="0.35">
      <c r="A270" t="str">
        <v>Jeffrey Freed &amp; Joan Shapiro</v>
      </c>
      <c r="B270" t="str">
        <f>books!B265</f>
        <v>N.D. Wilson</v>
      </c>
    </row>
    <row r="271" spans="1:4" x14ac:dyDescent="0.35">
      <c r="A271" t="str">
        <v>Clyde Bulla</v>
      </c>
      <c r="B271" t="str">
        <f>books!B266</f>
        <v>Roland Smith</v>
      </c>
    </row>
    <row r="272" spans="1:4" x14ac:dyDescent="0.35">
      <c r="A272" t="str">
        <v>M. Clarke</v>
      </c>
      <c r="B272" t="str">
        <f>books!B267</f>
        <v>Kevin Crossley-Holland</v>
      </c>
    </row>
    <row r="273" spans="1:2" x14ac:dyDescent="0.35">
      <c r="A273" t="str">
        <v>Foreign Language Press</v>
      </c>
      <c r="B273" t="str">
        <f>books!B268</f>
        <v>Pittacus Lore</v>
      </c>
    </row>
    <row r="274" spans="1:2" x14ac:dyDescent="0.35">
      <c r="A274" t="str">
        <v>William Strunk and E.B. White</v>
      </c>
      <c r="B274" t="str">
        <f>books!B269</f>
        <v>Michael Reisman</v>
      </c>
    </row>
    <row r="275" spans="1:2" x14ac:dyDescent="0.35">
      <c r="A275" t="str">
        <v>T.H. White</v>
      </c>
      <c r="B275" t="str">
        <f>books!B270</f>
        <v>Jeffrey Freed &amp; Joan Shapiro</v>
      </c>
    </row>
    <row r="276" spans="1:2" x14ac:dyDescent="0.35">
      <c r="A276" t="str">
        <v>Jean Van Leeuwen</v>
      </c>
      <c r="B276" t="str">
        <f>books!B271</f>
        <v>Clyde Bulla</v>
      </c>
    </row>
    <row r="277" spans="1:2" x14ac:dyDescent="0.35">
      <c r="A277" t="str">
        <v>Nicholas Edwards</v>
      </c>
      <c r="B277" t="str">
        <f>books!B272</f>
        <v>M. Clarke</v>
      </c>
    </row>
    <row r="278" spans="1:2" x14ac:dyDescent="0.35">
      <c r="A278" t="str">
        <v>Laura Ahearn</v>
      </c>
      <c r="B278" t="str">
        <f>books!B273</f>
        <v>Foreign Language Press</v>
      </c>
    </row>
    <row r="279" spans="1:2" x14ac:dyDescent="0.35">
      <c r="A279" t="str">
        <v>Helene Wecker</v>
      </c>
      <c r="B279" t="str">
        <f>books!B274</f>
        <v>William Strunk and E.B. White</v>
      </c>
    </row>
    <row r="280" spans="1:2" x14ac:dyDescent="0.35">
      <c r="A280" t="str">
        <v>Linda Chapman &amp; Steve Cole</v>
      </c>
      <c r="B280" t="str">
        <f>books!B275</f>
        <v>T.H. White</v>
      </c>
    </row>
    <row r="281" spans="1:2" x14ac:dyDescent="0.35">
      <c r="A281" t="str">
        <v>Derek Benz &amp; J.S. Lewis</v>
      </c>
      <c r="B281" t="str">
        <f>books!B276</f>
        <v>Jean Van Leeuwen</v>
      </c>
    </row>
    <row r="282" spans="1:2" x14ac:dyDescent="0.35">
      <c r="A282" t="str">
        <v>Stephen Lawhead</v>
      </c>
      <c r="B282" t="str">
        <f>books!B277</f>
        <v>Nicholas Edwards</v>
      </c>
    </row>
    <row r="283" spans="1:2" x14ac:dyDescent="0.35">
      <c r="A283" t="str">
        <v>Frances Hardinge</v>
      </c>
      <c r="B283" t="str">
        <f>books!B278</f>
        <v>Laura Ahearn</v>
      </c>
    </row>
    <row r="284" spans="1:2" x14ac:dyDescent="0.35">
      <c r="A284" t="str">
        <v>Mark Frost</v>
      </c>
      <c r="B284" t="str">
        <f>books!B279</f>
        <v>Helene Wecker</v>
      </c>
    </row>
    <row r="285" spans="1:2" x14ac:dyDescent="0.35">
      <c r="A285" t="str">
        <v>Philip Freeman</v>
      </c>
      <c r="B285" t="str">
        <f>books!B280</f>
        <v>Linda Chapman &amp; Steve Cole</v>
      </c>
    </row>
    <row r="286" spans="1:2" x14ac:dyDescent="0.35">
      <c r="A286" t="str">
        <v>Kenneth Oppel</v>
      </c>
      <c r="B286" t="str">
        <f>books!B281</f>
        <v>Derek Benz &amp; J.S. Lewis</v>
      </c>
    </row>
    <row r="287" spans="1:2" x14ac:dyDescent="0.35">
      <c r="A287" t="str">
        <v>Jeff Stone</v>
      </c>
      <c r="B287" t="str">
        <f>books!B282</f>
        <v>Stephen Lawhead</v>
      </c>
    </row>
    <row r="288" spans="1:2" x14ac:dyDescent="0.35">
      <c r="A288" t="str">
        <v>Jonathan Stroud</v>
      </c>
      <c r="B288" t="str">
        <f>books!B283</f>
        <v>Frances Hardinge</v>
      </c>
    </row>
    <row r="289" spans="1:2" x14ac:dyDescent="0.35">
      <c r="A289" t="str">
        <v>Howard Pyle</v>
      </c>
      <c r="B289" t="str">
        <f>books!B284</f>
        <v>Mark Frost</v>
      </c>
    </row>
    <row r="290" spans="1:2" x14ac:dyDescent="0.35">
      <c r="A290" t="str">
        <v>Annabel Monaghan</v>
      </c>
      <c r="B290" t="str">
        <f>books!B285</f>
        <v>Philip Freeman</v>
      </c>
    </row>
    <row r="291" spans="1:2" x14ac:dyDescent="0.35">
      <c r="A291" t="str">
        <v>Winston Groom</v>
      </c>
      <c r="B291" t="str">
        <f>books!B286</f>
        <v>Kenneth Oppel</v>
      </c>
    </row>
    <row r="292" spans="1:2" x14ac:dyDescent="0.35">
      <c r="A292" t="str">
        <v>Liz Kessler</v>
      </c>
      <c r="B292" t="str">
        <f>books!B287</f>
        <v>Jeff Stone</v>
      </c>
    </row>
    <row r="293" spans="1:2" x14ac:dyDescent="0.35">
      <c r="A293" t="str">
        <v>Sarah Prineas</v>
      </c>
      <c r="B293" t="str">
        <f>books!B288</f>
        <v>Jonathan Stroud</v>
      </c>
    </row>
    <row r="294" spans="1:2" x14ac:dyDescent="0.35">
      <c r="A294" t="str">
        <v>Dave Pelzer</v>
      </c>
      <c r="B294" t="str">
        <f>books!B289</f>
        <v>Howard Pyle</v>
      </c>
    </row>
    <row r="295" spans="1:2" x14ac:dyDescent="0.35">
      <c r="A295" t="str">
        <v>Leslea Newman</v>
      </c>
      <c r="B295" t="str">
        <f>books!B290</f>
        <v>Annabel Monaghan</v>
      </c>
    </row>
    <row r="296" spans="1:2" x14ac:dyDescent="0.35">
      <c r="A296" t="str">
        <v>Dhan Mukerji</v>
      </c>
      <c r="B296" t="str">
        <f>books!B291</f>
        <v>Winston Groom</v>
      </c>
    </row>
    <row r="297" spans="1:2" x14ac:dyDescent="0.35">
      <c r="A297" t="str">
        <v>Phyllis Naylor</v>
      </c>
      <c r="B297" t="str">
        <f>books!B292</f>
        <v>Liz Kessler</v>
      </c>
    </row>
    <row r="298" spans="1:2" x14ac:dyDescent="0.35">
      <c r="A298" t="str">
        <v>P.B. Kerr</v>
      </c>
      <c r="B298" t="str">
        <f>books!B293</f>
        <v>Sarah Prineas</v>
      </c>
    </row>
    <row r="299" spans="1:2" x14ac:dyDescent="0.35">
      <c r="A299" t="str">
        <v>Katherine Hannigan</v>
      </c>
      <c r="B299" t="str">
        <f>books!B294</f>
        <v>Dave Pelzer</v>
      </c>
    </row>
    <row r="300" spans="1:2" x14ac:dyDescent="0.35">
      <c r="A300" t="str">
        <v>Nancy Fan</v>
      </c>
      <c r="B300" t="str">
        <f>books!B295</f>
        <v>Leslea Newman</v>
      </c>
    </row>
    <row r="301" spans="1:2" x14ac:dyDescent="0.35">
      <c r="A301" t="str">
        <v>Judy Blume</v>
      </c>
      <c r="B301" t="str">
        <f>books!B296</f>
        <v>Dhan Mukerji</v>
      </c>
    </row>
    <row r="302" spans="1:2" x14ac:dyDescent="0.35">
      <c r="A302" t="str">
        <v>Jeanne Birdsall</v>
      </c>
      <c r="B302" t="str">
        <f>books!B297</f>
        <v>Phyllis Naylor</v>
      </c>
    </row>
    <row r="303" spans="1:2" x14ac:dyDescent="0.35">
      <c r="A303" t="str">
        <v>June Wood</v>
      </c>
      <c r="B303" t="str">
        <f>books!B298</f>
        <v>P.B. Kerr</v>
      </c>
    </row>
    <row r="304" spans="1:2" x14ac:dyDescent="0.35">
      <c r="A304" t="str">
        <v>Robert Peck </v>
      </c>
      <c r="B304" t="str">
        <f>books!B299</f>
        <v>Katherine Hannigan</v>
      </c>
    </row>
    <row r="305" spans="1:2" x14ac:dyDescent="0.35">
      <c r="A305" t="str">
        <v>Tracie Zimmer</v>
      </c>
      <c r="B305" t="str">
        <f>books!B300</f>
        <v>Nancy Fan</v>
      </c>
    </row>
    <row r="306" spans="1:2" x14ac:dyDescent="0.35">
      <c r="A306" t="str">
        <v>Celia Wilkins</v>
      </c>
      <c r="B306" t="str">
        <f>books!B301</f>
        <v>Judy Blume</v>
      </c>
    </row>
    <row r="307" spans="1:2" x14ac:dyDescent="0.35">
      <c r="A307" t="str">
        <v>Gertrude Warner</v>
      </c>
      <c r="B307" t="str">
        <f>books!B302</f>
        <v>Jeanne Birdsall</v>
      </c>
    </row>
    <row r="308" spans="1:2" x14ac:dyDescent="0.35">
      <c r="A308" t="str">
        <v>Erin Hunter</v>
      </c>
      <c r="B308" t="str">
        <f>books!B303</f>
        <v>June Wood</v>
      </c>
    </row>
    <row r="309" spans="1:2" x14ac:dyDescent="0.35">
      <c r="A309" t="str">
        <v>Kevin Kwan</v>
      </c>
      <c r="B309" t="str">
        <f>books!B304</f>
        <v>Robert Peck </v>
      </c>
    </row>
    <row r="310" spans="1:2" x14ac:dyDescent="0.35">
      <c r="A310" t="str">
        <v>Ron Chernow</v>
      </c>
      <c r="B310" t="str">
        <f>books!B305</f>
        <v>Tracie Zimmer</v>
      </c>
    </row>
    <row r="311" spans="1:2" x14ac:dyDescent="0.35">
      <c r="A311" t="str">
        <v>Walter White</v>
      </c>
      <c r="B311" t="str">
        <f>books!B306</f>
        <v>Celia Wilkins</v>
      </c>
    </row>
    <row r="312" spans="1:2" x14ac:dyDescent="0.35">
      <c r="A312" t="str">
        <v>Kathryn Stockett</v>
      </c>
      <c r="B312" t="e">
        <f>books!#REF!</f>
        <v>#REF!</v>
      </c>
    </row>
    <row r="313" spans="1:2" x14ac:dyDescent="0.35">
      <c r="A313" t="str">
        <v>Candice Millard</v>
      </c>
      <c r="B313" t="str">
        <f>books!B307</f>
        <v>Gertrude Warner</v>
      </c>
    </row>
    <row r="314" spans="1:2" x14ac:dyDescent="0.35">
      <c r="A314" t="str">
        <v>Nella Larson</v>
      </c>
      <c r="B314" t="str">
        <f>books!B308</f>
        <v>Erin Hunter</v>
      </c>
    </row>
    <row r="315" spans="1:2" x14ac:dyDescent="0.35">
      <c r="A315" t="str">
        <v>William Goldman</v>
      </c>
      <c r="B315" t="str">
        <f>books!B309</f>
        <v>Kevin Kwan</v>
      </c>
    </row>
    <row r="316" spans="1:2" x14ac:dyDescent="0.35">
      <c r="A316" t="str">
        <v>Daniel Gage</v>
      </c>
      <c r="B316" t="str">
        <f>books!B310</f>
        <v>Ron Chernow</v>
      </c>
    </row>
    <row r="317" spans="1:2" x14ac:dyDescent="0.35">
      <c r="A317" t="str">
        <v>Norton Juster</v>
      </c>
      <c r="B317" t="str">
        <f>books!B311</f>
        <v>Walter White</v>
      </c>
    </row>
    <row r="318" spans="1:2" x14ac:dyDescent="0.35">
      <c r="A318" t="str">
        <v>Robert Jordan</v>
      </c>
      <c r="B318" t="str">
        <f>books!B312</f>
        <v>Kathryn Stockett</v>
      </c>
    </row>
    <row r="319" spans="1:2" x14ac:dyDescent="0.35">
      <c r="A319" t="str">
        <v>Ann Rinaldi</v>
      </c>
      <c r="B319" t="str">
        <f>books!B313</f>
        <v>Candice Millard</v>
      </c>
    </row>
    <row r="320" spans="1:2" x14ac:dyDescent="0.35">
      <c r="A320" t="str">
        <v>Richard and Florence Atwater</v>
      </c>
      <c r="B320" t="str">
        <f>books!B314</f>
        <v>Nella Larson</v>
      </c>
    </row>
    <row r="321" spans="1:2" x14ac:dyDescent="0.35">
      <c r="A321" t="str">
        <v>Paul Fleischman</v>
      </c>
      <c r="B321" t="str">
        <f>books!B315</f>
        <v>William Goldman</v>
      </c>
    </row>
    <row r="322" spans="1:2" x14ac:dyDescent="0.35">
      <c r="A322" t="str">
        <v>John Layman</v>
      </c>
      <c r="B322" t="str">
        <f>books!B316</f>
        <v>Daniel Gage</v>
      </c>
    </row>
    <row r="323" spans="1:2" x14ac:dyDescent="0.35">
      <c r="A323" t="str">
        <v>William Cronon</v>
      </c>
      <c r="B323" t="str">
        <f>books!B317</f>
        <v>Norton Juster</v>
      </c>
    </row>
    <row r="324" spans="1:2" x14ac:dyDescent="0.35">
      <c r="A324" t="str">
        <v>Javier Auyero</v>
      </c>
      <c r="B324" t="str">
        <f>books!B318</f>
        <v>Robert Jordan</v>
      </c>
    </row>
    <row r="325" spans="1:2" x14ac:dyDescent="0.35">
      <c r="A325" t="str">
        <v>Celia Applegate and Pamela Potter</v>
      </c>
      <c r="B325" t="str">
        <f>books!B319</f>
        <v>Ann Rinaldi</v>
      </c>
    </row>
    <row r="326" spans="1:2" x14ac:dyDescent="0.35">
      <c r="A326" t="str">
        <v>Gordon Craig</v>
      </c>
      <c r="B326" t="str">
        <f>books!B320</f>
        <v>Richard and Florence Atwater</v>
      </c>
    </row>
    <row r="327" spans="1:2" x14ac:dyDescent="0.35">
      <c r="A327" t="str">
        <v>Michael Kater</v>
      </c>
      <c r="B327" t="str">
        <f>books!B321</f>
        <v>Paul Fleischman</v>
      </c>
    </row>
    <row r="328" spans="1:2" x14ac:dyDescent="0.35">
      <c r="A328" t="str">
        <v>Rebecca Oettinger</v>
      </c>
      <c r="B328" t="str">
        <f>books!B322</f>
        <v>John Layman</v>
      </c>
    </row>
    <row r="329" spans="1:2" x14ac:dyDescent="0.35">
      <c r="A329" t="str">
        <v>Uwe Schutt</v>
      </c>
      <c r="B329" t="str">
        <f>books!B323</f>
        <v>William Cronon</v>
      </c>
    </row>
    <row r="330" spans="1:2" x14ac:dyDescent="0.35">
      <c r="A330" t="str">
        <v>William Shakespeare</v>
      </c>
      <c r="B330" t="str">
        <f>books!B324</f>
        <v>Javier Auyero</v>
      </c>
    </row>
    <row r="331" spans="1:2" x14ac:dyDescent="0.35">
      <c r="A331" t="str">
        <v>Jean Merrill</v>
      </c>
      <c r="B331" t="str">
        <f>books!B325</f>
        <v>Celia Applegate and Pamela Potter</v>
      </c>
    </row>
    <row r="332" spans="1:2" x14ac:dyDescent="0.35">
      <c r="A332" t="str">
        <v>David Blight</v>
      </c>
      <c r="B332" t="str">
        <f>books!B326</f>
        <v>Gordon Craig</v>
      </c>
    </row>
    <row r="333" spans="1:2" x14ac:dyDescent="0.35">
      <c r="A333" t="str">
        <v>Alexander Hamilton, James Madison, and John Jay</v>
      </c>
      <c r="B333" t="str">
        <f>books!B327</f>
        <v>Michael Kater</v>
      </c>
    </row>
    <row r="334" spans="1:2" x14ac:dyDescent="0.35">
      <c r="A334" t="str">
        <v>Nathan Pyle</v>
      </c>
      <c r="B334" t="str">
        <f>books!B328</f>
        <v>Rebecca Oettinger</v>
      </c>
    </row>
    <row r="335" spans="1:2" x14ac:dyDescent="0.35">
      <c r="A335" t="str">
        <v>Ishmael Beah</v>
      </c>
      <c r="B335" t="str">
        <f>books!B329</f>
        <v>Uwe Schutt</v>
      </c>
    </row>
    <row r="336" spans="1:2" x14ac:dyDescent="0.35">
      <c r="A336" t="str">
        <v>Naomi Benaron</v>
      </c>
      <c r="B336" t="str">
        <f>books!B330</f>
        <v>William Shakespeare</v>
      </c>
    </row>
    <row r="337" spans="1:2" x14ac:dyDescent="0.35">
      <c r="A337" t="str">
        <v>Thomas Mann</v>
      </c>
      <c r="B337" t="str">
        <f>books!B331</f>
        <v>Jean Merrill</v>
      </c>
    </row>
    <row r="338" spans="1:2" x14ac:dyDescent="0.35">
      <c r="A338" t="str">
        <v>Bertold Brecht</v>
      </c>
      <c r="B338" t="str">
        <f>books!B332</f>
        <v>David Blight</v>
      </c>
    </row>
    <row r="339" spans="1:2" x14ac:dyDescent="0.35">
      <c r="A339" t="str">
        <v>Ludwig Tieck</v>
      </c>
      <c r="B339" t="str">
        <f>books!B333</f>
        <v>Alexander Hamilton, James Madison, and John Jay</v>
      </c>
    </row>
    <row r="340" spans="1:2" x14ac:dyDescent="0.35">
      <c r="A340" t="str">
        <v>Obert Skye</v>
      </c>
      <c r="B340" t="str">
        <f>books!B334</f>
        <v>Nathan Pyle</v>
      </c>
    </row>
    <row r="341" spans="1:2" x14ac:dyDescent="0.35">
      <c r="A341" t="str">
        <v>Kat Falls</v>
      </c>
      <c r="B341" t="str">
        <f>books!B335</f>
        <v>Ishmael Beah</v>
      </c>
    </row>
    <row r="342" spans="1:2" x14ac:dyDescent="0.35">
      <c r="A342" t="str">
        <v>Michael Chabon</v>
      </c>
      <c r="B342" t="str">
        <f>books!B336</f>
        <v>Naomi Benaron</v>
      </c>
    </row>
    <row r="343" spans="1:2" x14ac:dyDescent="0.35">
      <c r="A343" t="str">
        <v>Zizu Corder</v>
      </c>
      <c r="B343" t="e">
        <f>books!#REF!</f>
        <v>#REF!</v>
      </c>
    </row>
    <row r="344" spans="1:2" x14ac:dyDescent="0.35">
      <c r="A344" t="str">
        <v>Jane Smiley</v>
      </c>
      <c r="B344" t="str">
        <f>books!B337</f>
        <v>Thomas Mann</v>
      </c>
    </row>
    <row r="345" spans="1:2" x14ac:dyDescent="0.35">
      <c r="A345" t="str">
        <v>Claude Steele</v>
      </c>
      <c r="B345" t="str">
        <f>books!B338</f>
        <v>Bertold Brecht</v>
      </c>
    </row>
    <row r="346" spans="1:2" x14ac:dyDescent="0.35">
      <c r="A346" t="str">
        <v>Anthony Greenwald and Mahzarin Banaji</v>
      </c>
      <c r="B346" t="str">
        <f>books!B339</f>
        <v>Ludwig Tieck</v>
      </c>
    </row>
    <row r="347" spans="1:2" x14ac:dyDescent="0.35">
      <c r="A347" t="str">
        <v>William Forstchen</v>
      </c>
      <c r="B347" t="str">
        <f>books!B340</f>
        <v>Obert Skye</v>
      </c>
    </row>
    <row r="348" spans="1:2" x14ac:dyDescent="0.35">
      <c r="A348" t="str">
        <v>David Montgomery</v>
      </c>
      <c r="B348" t="str">
        <f>books!B341</f>
        <v>Kat Falls</v>
      </c>
    </row>
    <row r="349" spans="1:2" x14ac:dyDescent="0.35">
      <c r="A349" t="str">
        <v>Peter Zeihan</v>
      </c>
      <c r="B349" t="str">
        <f>books!B342</f>
        <v>Michael Chabon</v>
      </c>
    </row>
    <row r="350" spans="1:2" x14ac:dyDescent="0.35">
      <c r="A350" t="str">
        <v>Todd Strasser</v>
      </c>
      <c r="B350" t="str">
        <f>books!B343</f>
        <v>Zizu Corder</v>
      </c>
    </row>
    <row r="351" spans="1:2" x14ac:dyDescent="0.35">
      <c r="A351" t="str">
        <v>G.E. Lessing</v>
      </c>
      <c r="B351" t="str">
        <f>books!B344</f>
        <v>Jane Smiley</v>
      </c>
    </row>
    <row r="352" spans="1:2" x14ac:dyDescent="0.35">
      <c r="A352" t="str">
        <v>Dave Eggers</v>
      </c>
      <c r="B352" t="str">
        <f>books!B345</f>
        <v>Claude Steele</v>
      </c>
    </row>
    <row r="353" spans="1:3" x14ac:dyDescent="0.35">
      <c r="A353" t="str">
        <v>Min Jin Lee</v>
      </c>
      <c r="B353" t="str">
        <f>books!B346</f>
        <v>Anthony Greenwald and Mahzarin Banaji</v>
      </c>
    </row>
    <row r="354" spans="1:3" x14ac:dyDescent="0.35">
      <c r="A354" t="str">
        <v>Roger Daniels</v>
      </c>
      <c r="B354" t="str">
        <f>books!B347</f>
        <v>William Forstchen</v>
      </c>
    </row>
    <row r="355" spans="1:3" x14ac:dyDescent="0.35">
      <c r="A355" t="str">
        <v>Jim Fergus</v>
      </c>
      <c r="B355" t="str">
        <f>books!B348</f>
        <v>David Montgomery</v>
      </c>
      <c r="C355" t="s">
        <v>1614</v>
      </c>
    </row>
    <row r="356" spans="1:3" x14ac:dyDescent="0.35">
      <c r="A356" t="str">
        <v>Simon Elegant</v>
      </c>
      <c r="B356" t="str">
        <f>books!B349</f>
        <v>Peter Zeihan</v>
      </c>
      <c r="C356" t="s">
        <v>1613</v>
      </c>
    </row>
    <row r="357" spans="1:3" x14ac:dyDescent="0.35">
      <c r="A357" t="str">
        <v>Heather Morris</v>
      </c>
      <c r="B357" t="str">
        <f>books!B350</f>
        <v>Todd Strasser</v>
      </c>
      <c r="C357" t="s">
        <v>1612</v>
      </c>
    </row>
    <row r="358" spans="1:3" x14ac:dyDescent="0.35">
      <c r="A358" t="str">
        <v>Lauren Groff</v>
      </c>
      <c r="B358" t="str">
        <f>books!B351</f>
        <v>G.E. Lessing</v>
      </c>
      <c r="C358" t="s">
        <v>1611</v>
      </c>
    </row>
    <row r="359" spans="1:3" x14ac:dyDescent="0.35">
      <c r="A359" t="str">
        <v>Susan Powers</v>
      </c>
      <c r="B359" t="str">
        <f>books!B352</f>
        <v>Dave Eggers</v>
      </c>
      <c r="C359" t="s">
        <v>1610</v>
      </c>
    </row>
    <row r="360" spans="1:3" x14ac:dyDescent="0.35">
      <c r="A360" t="str">
        <v>David Jeremiah</v>
      </c>
      <c r="B360" t="str">
        <f>books!B353</f>
        <v>Min Jin Lee</v>
      </c>
      <c r="C360" t="s">
        <v>1609</v>
      </c>
    </row>
    <row r="361" spans="1:3" x14ac:dyDescent="0.35">
      <c r="A361" t="str">
        <v>Radley Balko</v>
      </c>
      <c r="B361" t="str">
        <f>books!B354</f>
        <v>Roger Daniels</v>
      </c>
      <c r="C361" t="s">
        <v>1608</v>
      </c>
    </row>
    <row r="362" spans="1:3" x14ac:dyDescent="0.35">
      <c r="A362" t="str">
        <v>Chinua Achebe</v>
      </c>
      <c r="B362" t="str">
        <f>books!B355</f>
        <v>Jim Fergus</v>
      </c>
      <c r="C362" t="s">
        <v>1607</v>
      </c>
    </row>
    <row r="363" spans="1:3" x14ac:dyDescent="0.35">
      <c r="A363" t="str">
        <v>Ben Goldfarb</v>
      </c>
      <c r="B363" t="str">
        <f>books!B356</f>
        <v>Simon Elegant</v>
      </c>
      <c r="C363" t="s">
        <v>1606</v>
      </c>
    </row>
    <row r="364" spans="1:3" x14ac:dyDescent="0.35">
      <c r="A364" t="str">
        <v>Akwaeke Emezi</v>
      </c>
      <c r="B364" t="str">
        <f>books!B357</f>
        <v>Heather Morris</v>
      </c>
      <c r="C364" t="s">
        <v>1605</v>
      </c>
    </row>
    <row r="365" spans="1:3" x14ac:dyDescent="0.35">
      <c r="A365" t="str">
        <v>Ken Follette</v>
      </c>
      <c r="B365" t="str">
        <f>books!B358</f>
        <v>Lauren Groff</v>
      </c>
      <c r="C365" t="s">
        <v>1604</v>
      </c>
    </row>
    <row r="366" spans="1:3" x14ac:dyDescent="0.35">
      <c r="A366" t="str">
        <v>Sundee Tucker Frazier</v>
      </c>
      <c r="B366" t="str">
        <f>books!B359</f>
        <v>Susan Powers</v>
      </c>
      <c r="C366" t="s">
        <v>1603</v>
      </c>
    </row>
    <row r="367" spans="1:3" x14ac:dyDescent="0.35">
      <c r="A367" t="str">
        <v>Kim Tallbear</v>
      </c>
      <c r="B367" t="str">
        <f>books!B360</f>
        <v>David Jeremiah</v>
      </c>
      <c r="C367" t="s">
        <v>1602</v>
      </c>
    </row>
    <row r="368" spans="1:3" x14ac:dyDescent="0.35">
      <c r="A368" t="str">
        <v>Ted Dekker</v>
      </c>
      <c r="B368" t="str">
        <f>books!B361</f>
        <v>Radley Balko</v>
      </c>
      <c r="C368" t="s">
        <v>1599</v>
      </c>
    </row>
    <row r="369" spans="1:5" x14ac:dyDescent="0.35">
      <c r="A369" t="str">
        <v>Paul Sorrentino</v>
      </c>
      <c r="B369" t="str">
        <f>books!B362</f>
        <v>Chinua Achebe</v>
      </c>
      <c r="C369" t="s">
        <v>1598</v>
      </c>
    </row>
    <row r="370" spans="1:5" x14ac:dyDescent="0.35">
      <c r="A370" t="str">
        <v>Claudio Saunt</v>
      </c>
      <c r="B370" t="str">
        <f>books!B363</f>
        <v>Ben Goldfarb</v>
      </c>
      <c r="C370" t="s">
        <v>1597</v>
      </c>
    </row>
    <row r="371" spans="1:5" x14ac:dyDescent="0.35">
      <c r="A371" t="str">
        <v>Sofía Segovia</v>
      </c>
      <c r="B371" t="str">
        <f>books!B364</f>
        <v>Akwaeke Emezi</v>
      </c>
      <c r="C371" t="s">
        <v>1596</v>
      </c>
    </row>
    <row r="372" spans="1:5" x14ac:dyDescent="0.35">
      <c r="A372" t="str">
        <v>Gerald M. Sider</v>
      </c>
      <c r="B372" t="str">
        <f>books!B365</f>
        <v>Ken Follette</v>
      </c>
      <c r="C372" t="s">
        <v>1595</v>
      </c>
      <c r="D372" t="s">
        <v>1600</v>
      </c>
    </row>
    <row r="373" spans="1:5" x14ac:dyDescent="0.35">
      <c r="A373" t="str">
        <v>Tony Danza</v>
      </c>
      <c r="B373" t="str">
        <f>books!B366</f>
        <v>Sundee Tucker Frazier</v>
      </c>
      <c r="C373" t="s">
        <v>1594</v>
      </c>
    </row>
    <row r="374" spans="1:5" x14ac:dyDescent="0.35">
      <c r="A374" t="str">
        <v>Thanhha Lai</v>
      </c>
      <c r="B374" t="str">
        <f>books!B367</f>
        <v>Kim Tallbear</v>
      </c>
      <c r="C374" t="s">
        <v>1593</v>
      </c>
    </row>
    <row r="375" spans="1:5" x14ac:dyDescent="0.35">
      <c r="A375" t="str">
        <v>Robin Wall Kimmerer</v>
      </c>
      <c r="B375" t="str">
        <f>books!B368</f>
        <v>Ted Dekker</v>
      </c>
      <c r="C375" t="s">
        <v>1592</v>
      </c>
      <c r="E375" t="s">
        <v>1601</v>
      </c>
    </row>
    <row r="376" spans="1:5" x14ac:dyDescent="0.35">
      <c r="A376" t="str">
        <v>Dana Czapnik</v>
      </c>
      <c r="B376" t="str">
        <f>books!B369</f>
        <v>Paul Sorrentino</v>
      </c>
      <c r="C376" t="s">
        <v>1591</v>
      </c>
    </row>
    <row r="377" spans="1:5" x14ac:dyDescent="0.35">
      <c r="A377" t="str">
        <v>Lynda Mullaly Hunt</v>
      </c>
      <c r="B377" t="str">
        <f>books!B370</f>
        <v>Claudio Saunt</v>
      </c>
      <c r="C377" t="s">
        <v>1590</v>
      </c>
    </row>
    <row r="378" spans="1:5" x14ac:dyDescent="0.35">
      <c r="A378" t="str">
        <v>Mitali Perkins</v>
      </c>
      <c r="B378" t="str">
        <f>books!B371</f>
        <v>Sofía Segovia</v>
      </c>
      <c r="C378" t="s">
        <v>1589</v>
      </c>
    </row>
    <row r="379" spans="1:5" x14ac:dyDescent="0.35">
      <c r="A379" t="str">
        <v>Shanthi Sekaran</v>
      </c>
      <c r="B379" t="str">
        <f>books!B372</f>
        <v>Gerald M. Sider</v>
      </c>
      <c r="C379" t="s">
        <v>1588</v>
      </c>
    </row>
    <row r="380" spans="1:5" x14ac:dyDescent="0.35">
      <c r="A380" t="str">
        <v>Khary Polk</v>
      </c>
      <c r="B380" t="str">
        <f>books!B373</f>
        <v>Tony Danza</v>
      </c>
      <c r="C380" t="s">
        <v>1587</v>
      </c>
    </row>
    <row r="381" spans="1:5" x14ac:dyDescent="0.35">
      <c r="A381" t="str">
        <v>Axie Oh</v>
      </c>
      <c r="B381" t="str">
        <f>books!B374</f>
        <v>Thanhha Lai</v>
      </c>
      <c r="C381" t="s">
        <v>1586</v>
      </c>
    </row>
    <row r="382" spans="1:5" x14ac:dyDescent="0.35">
      <c r="A382" t="str">
        <v>Michael Korda</v>
      </c>
      <c r="B382" t="str">
        <f>books!B375</f>
        <v>Robin Wall Kimmerer</v>
      </c>
      <c r="C382" t="s">
        <v>1585</v>
      </c>
    </row>
    <row r="383" spans="1:5" x14ac:dyDescent="0.35">
      <c r="A383" t="str">
        <v>Ray Bradbury</v>
      </c>
      <c r="B383" t="str">
        <f>books!B376</f>
        <v>Dana Czapnik</v>
      </c>
      <c r="C383" t="s">
        <v>1584</v>
      </c>
    </row>
    <row r="384" spans="1:5" x14ac:dyDescent="0.35">
      <c r="A384" t="str">
        <v>Kirk Mitchell</v>
      </c>
      <c r="B384" t="str">
        <f>books!B377</f>
        <v>Lynda Mullaly Hunt</v>
      </c>
      <c r="C384" t="s">
        <v>1583</v>
      </c>
    </row>
    <row r="385" spans="1:11" x14ac:dyDescent="0.35">
      <c r="A385" t="str">
        <v>Joseph Campbell</v>
      </c>
      <c r="B385" t="str">
        <f>books!B378</f>
        <v>Mitali Perkins</v>
      </c>
      <c r="C385" t="s">
        <v>1582</v>
      </c>
    </row>
    <row r="386" spans="1:11" x14ac:dyDescent="0.35">
      <c r="A386" t="str">
        <v>Anne Fadiman</v>
      </c>
      <c r="B386" t="str">
        <f>books!B379</f>
        <v>Shanthi Sekaran</v>
      </c>
      <c r="C386" t="s">
        <v>1581</v>
      </c>
    </row>
    <row r="387" spans="1:11" x14ac:dyDescent="0.35">
      <c r="A387" t="str">
        <v>Zora Hurston</v>
      </c>
      <c r="B387" t="str">
        <f>books!B380</f>
        <v>Khary Polk</v>
      </c>
      <c r="C387" t="s">
        <v>1580</v>
      </c>
    </row>
    <row r="388" spans="1:11" x14ac:dyDescent="0.35">
      <c r="A388" t="str">
        <v>Chimamanda Ngozi Adichie</v>
      </c>
      <c r="B388" t="str">
        <f>books!B381</f>
        <v>Axie Oh</v>
      </c>
      <c r="C388" t="s">
        <v>1579</v>
      </c>
    </row>
    <row r="389" spans="1:11" x14ac:dyDescent="0.35">
      <c r="A389" t="str">
        <v>Ted Chiang</v>
      </c>
      <c r="B389" t="str">
        <f>books!B382</f>
        <v>Michael Korda</v>
      </c>
      <c r="C389" t="s">
        <v>1569</v>
      </c>
    </row>
    <row r="390" spans="1:11" x14ac:dyDescent="0.35">
      <c r="A390" t="str">
        <v>Joseph Murphy</v>
      </c>
      <c r="B390" t="str">
        <f>books!B383</f>
        <v>Ray Bradbury</v>
      </c>
      <c r="C390" t="s">
        <v>1568</v>
      </c>
    </row>
    <row r="391" spans="1:11" x14ac:dyDescent="0.35">
      <c r="A391" t="str">
        <v>Olaudah Equiano</v>
      </c>
      <c r="B391" t="str">
        <f>books!B384</f>
        <v>Kirk Mitchell</v>
      </c>
      <c r="C391" t="s">
        <v>1567</v>
      </c>
    </row>
    <row r="392" spans="1:11" x14ac:dyDescent="0.35">
      <c r="A392" t="str">
        <v>Mary Prince</v>
      </c>
      <c r="B392" t="str">
        <f>books!B385</f>
        <v>Joseph Campbell</v>
      </c>
      <c r="C392" t="s">
        <v>1566</v>
      </c>
    </row>
    <row r="393" spans="1:11" x14ac:dyDescent="0.35">
      <c r="A393" t="str">
        <v>Louis Asa-Asa</v>
      </c>
      <c r="B393" t="str">
        <f>books!B386</f>
        <v>Anne Fadiman</v>
      </c>
      <c r="C393" t="s">
        <v>1565</v>
      </c>
      <c r="D393" t="s">
        <v>1570</v>
      </c>
    </row>
    <row r="394" spans="1:11" x14ac:dyDescent="0.35">
      <c r="A394" t="str">
        <v>Frederick Douglass</v>
      </c>
      <c r="B394" t="str">
        <f>books!B387</f>
        <v>Zora Hurston</v>
      </c>
      <c r="C394" t="s">
        <v>1564</v>
      </c>
    </row>
    <row r="395" spans="1:11" x14ac:dyDescent="0.35">
      <c r="A395" t="str">
        <v>Harriet Jacobs</v>
      </c>
      <c r="B395" t="str">
        <f>books!B388</f>
        <v>Chimamanda Ngozi Adichie</v>
      </c>
      <c r="C395" t="s">
        <v>1563</v>
      </c>
    </row>
    <row r="396" spans="1:11" x14ac:dyDescent="0.35">
      <c r="A396" t="str">
        <v>Aneeka Ayanna Henderson</v>
      </c>
      <c r="B396" t="str">
        <f>books!B389</f>
        <v>Ted Chiang</v>
      </c>
      <c r="C396" t="s">
        <v>1562</v>
      </c>
      <c r="E396" t="s">
        <v>1571</v>
      </c>
      <c r="F396" t="s">
        <v>1572</v>
      </c>
      <c r="G396" t="s">
        <v>1574</v>
      </c>
      <c r="H396" t="s">
        <v>1575</v>
      </c>
      <c r="I396" t="s">
        <v>1576</v>
      </c>
      <c r="J396" t="s">
        <v>1577</v>
      </c>
      <c r="K396" t="s">
        <v>1578</v>
      </c>
    </row>
    <row r="397" spans="1:11" x14ac:dyDescent="0.35">
      <c r="A397" t="str">
        <v>Sonya Sotomayor</v>
      </c>
      <c r="B397" t="str">
        <f>books!B390</f>
        <v>Joseph Murphy</v>
      </c>
      <c r="C397" t="s">
        <v>1561</v>
      </c>
    </row>
    <row r="398" spans="1:11" x14ac:dyDescent="0.35">
      <c r="A398" t="str">
        <v>James Kahn</v>
      </c>
      <c r="B398" t="str">
        <f>books!B391</f>
        <v>Olaudah Equiano</v>
      </c>
      <c r="C398" t="s">
        <v>1620</v>
      </c>
    </row>
    <row r="399" spans="1:11" x14ac:dyDescent="0.35">
      <c r="A399" t="str">
        <v>George Lucas</v>
      </c>
      <c r="B399" t="str">
        <f>books!B392</f>
        <v>Mary Prince</v>
      </c>
      <c r="C399" t="s">
        <v>1621</v>
      </c>
    </row>
    <row r="400" spans="1:11" x14ac:dyDescent="0.35">
      <c r="A400" t="str">
        <v>Sebastian Junger</v>
      </c>
      <c r="B400" t="str">
        <f>books!B393</f>
        <v>Louis Asa-Asa</v>
      </c>
      <c r="C400" t="s">
        <v>1685</v>
      </c>
    </row>
    <row r="401" spans="1:4" x14ac:dyDescent="0.35">
      <c r="A401" t="str">
        <v>J. Frank Dobie</v>
      </c>
      <c r="B401" t="str">
        <f>books!B394</f>
        <v>Frederick Douglass</v>
      </c>
      <c r="C401" t="s">
        <v>1700</v>
      </c>
    </row>
    <row r="402" spans="1:4" x14ac:dyDescent="0.35">
      <c r="A402" t="str">
        <v>Andrew Murray</v>
      </c>
      <c r="B402" t="str">
        <f>books!B395</f>
        <v>Harriet Jacobs</v>
      </c>
      <c r="C402" t="s">
        <v>1701</v>
      </c>
    </row>
    <row r="403" spans="1:4" x14ac:dyDescent="0.35">
      <c r="A403" t="str">
        <v>Thomas Brussig</v>
      </c>
      <c r="B403" t="str">
        <f>books!B396</f>
        <v>Aneeka Ayanna Henderson</v>
      </c>
      <c r="C403" t="s">
        <v>1704</v>
      </c>
    </row>
    <row r="404" spans="1:4" x14ac:dyDescent="0.35">
      <c r="A404" t="str">
        <v>Carolyn Merchant</v>
      </c>
      <c r="B404" t="str">
        <f>books!B397</f>
        <v>Sonya Sotomayor</v>
      </c>
      <c r="C404" t="s">
        <v>1708</v>
      </c>
    </row>
    <row r="405" spans="1:4" x14ac:dyDescent="0.35">
      <c r="A405" t="str">
        <v>Barak Obama</v>
      </c>
      <c r="B405" t="str">
        <f>books!B398</f>
        <v>James Kahn</v>
      </c>
      <c r="C405" t="s">
        <v>1711</v>
      </c>
    </row>
    <row r="406" spans="1:4" x14ac:dyDescent="0.35">
      <c r="A406" t="str">
        <v>Raymond Friday Locke</v>
      </c>
      <c r="B406" t="str">
        <f>books!B399</f>
        <v>George Lucas</v>
      </c>
      <c r="C406" t="s">
        <v>1720</v>
      </c>
    </row>
    <row r="407" spans="1:4" x14ac:dyDescent="0.35">
      <c r="A407" t="str">
        <v>Jack Thorne</v>
      </c>
      <c r="B407">
        <f>books!B597</f>
        <v>0</v>
      </c>
      <c r="C407" t="s">
        <v>1723</v>
      </c>
    </row>
    <row r="408" spans="1:4" x14ac:dyDescent="0.35">
      <c r="A408" t="str">
        <v>Monica Furlong</v>
      </c>
      <c r="B408">
        <f>books!B598</f>
        <v>0</v>
      </c>
      <c r="C408" t="s">
        <v>1726</v>
      </c>
    </row>
    <row r="409" spans="1:4" x14ac:dyDescent="0.35">
      <c r="A409" t="str">
        <v>Malcom Gladwell</v>
      </c>
      <c r="B409">
        <f>books!B599</f>
        <v>0</v>
      </c>
      <c r="C409" t="s">
        <v>1730</v>
      </c>
      <c r="D409" t="s">
        <v>1732</v>
      </c>
    </row>
    <row r="410" spans="1:4" x14ac:dyDescent="0.35">
      <c r="A410" t="str">
        <v>Richard Wright</v>
      </c>
      <c r="B410">
        <f>books!B600</f>
        <v>0</v>
      </c>
      <c r="C410" t="s">
        <v>1740</v>
      </c>
    </row>
    <row r="411" spans="1:4" x14ac:dyDescent="0.35">
      <c r="A411" t="str">
        <v>Anthony Burgess</v>
      </c>
      <c r="B411">
        <f>books!B601</f>
        <v>0</v>
      </c>
      <c r="C411" t="s">
        <v>1743</v>
      </c>
    </row>
    <row r="412" spans="1:4" x14ac:dyDescent="0.35">
      <c r="A412" t="str">
        <v>Patricia Highsmith</v>
      </c>
      <c r="B412">
        <f>books!B602</f>
        <v>0</v>
      </c>
      <c r="C412" t="s">
        <v>1746</v>
      </c>
    </row>
    <row r="413" spans="1:4" x14ac:dyDescent="0.35">
      <c r="A413" t="str">
        <v>Stieg Larsson</v>
      </c>
      <c r="B413">
        <f>books!B603</f>
        <v>0</v>
      </c>
      <c r="C413" t="s">
        <v>1749</v>
      </c>
    </row>
    <row r="414" spans="1:4" x14ac:dyDescent="0.35">
      <c r="A414" t="str">
        <v>Erik Svensson</v>
      </c>
      <c r="B414">
        <f>books!B604</f>
        <v>0</v>
      </c>
      <c r="C414" t="s">
        <v>1754</v>
      </c>
    </row>
    <row r="415" spans="1:4" x14ac:dyDescent="0.35">
      <c r="A415" t="str">
        <v>Kevin Simler, Robin Hanson</v>
      </c>
      <c r="B415">
        <f>books!B605</f>
        <v>0</v>
      </c>
      <c r="C415" t="s">
        <v>1757</v>
      </c>
    </row>
    <row r="416" spans="1:4" x14ac:dyDescent="0.35">
      <c r="A416" t="str">
        <v>William Golding</v>
      </c>
      <c r="B416">
        <f>books!B606</f>
        <v>0</v>
      </c>
      <c r="C416" t="s">
        <v>1760</v>
      </c>
    </row>
    <row r="417" spans="1:2" x14ac:dyDescent="0.35">
      <c r="A417">
        <v>0</v>
      </c>
      <c r="B417">
        <f>books!B607</f>
        <v>0</v>
      </c>
    </row>
    <row r="418" spans="1:2" x14ac:dyDescent="0.35">
      <c r="B418">
        <f>books!B608</f>
        <v>0</v>
      </c>
    </row>
    <row r="419" spans="1:2" x14ac:dyDescent="0.35">
      <c r="B419">
        <f>books!B609</f>
        <v>0</v>
      </c>
    </row>
    <row r="420" spans="1:2" x14ac:dyDescent="0.35">
      <c r="B420">
        <f>books!B610</f>
        <v>0</v>
      </c>
    </row>
    <row r="421" spans="1:2" x14ac:dyDescent="0.35">
      <c r="B421">
        <f>books!B611</f>
        <v>0</v>
      </c>
    </row>
    <row r="422" spans="1:2" x14ac:dyDescent="0.35">
      <c r="B422">
        <f>books!B612</f>
        <v>0</v>
      </c>
    </row>
    <row r="423" spans="1:2" x14ac:dyDescent="0.35">
      <c r="B423">
        <f>books!B613</f>
        <v>0</v>
      </c>
    </row>
    <row r="424" spans="1:2" x14ac:dyDescent="0.35">
      <c r="B424">
        <f>books!B614</f>
        <v>0</v>
      </c>
    </row>
    <row r="425" spans="1:2" x14ac:dyDescent="0.35">
      <c r="B425">
        <f>books!B615</f>
        <v>0</v>
      </c>
    </row>
    <row r="426" spans="1:2" x14ac:dyDescent="0.35">
      <c r="B426">
        <f>books!B616</f>
        <v>0</v>
      </c>
    </row>
    <row r="427" spans="1:2" x14ac:dyDescent="0.35">
      <c r="B427">
        <f>books!B617</f>
        <v>0</v>
      </c>
    </row>
    <row r="428" spans="1:2" x14ac:dyDescent="0.35">
      <c r="B428">
        <f>books!B618</f>
        <v>0</v>
      </c>
    </row>
    <row r="429" spans="1:2" x14ac:dyDescent="0.35">
      <c r="B429">
        <f>books!B619</f>
        <v>0</v>
      </c>
    </row>
    <row r="430" spans="1:2" x14ac:dyDescent="0.35">
      <c r="B430">
        <f>books!B620</f>
        <v>0</v>
      </c>
    </row>
    <row r="431" spans="1:2" x14ac:dyDescent="0.35">
      <c r="B431">
        <f>books!B621</f>
        <v>0</v>
      </c>
    </row>
    <row r="432" spans="1:2" x14ac:dyDescent="0.35">
      <c r="B432">
        <f>books!B622</f>
        <v>0</v>
      </c>
    </row>
    <row r="433" spans="2:2" x14ac:dyDescent="0.35">
      <c r="B433">
        <f>books!B623</f>
        <v>0</v>
      </c>
    </row>
    <row r="434" spans="2:2" x14ac:dyDescent="0.35">
      <c r="B434">
        <f>books!B624</f>
        <v>0</v>
      </c>
    </row>
    <row r="435" spans="2:2" x14ac:dyDescent="0.35">
      <c r="B435">
        <f>books!B625</f>
        <v>0</v>
      </c>
    </row>
    <row r="436" spans="2:2" x14ac:dyDescent="0.35">
      <c r="B436">
        <f>books!B626</f>
        <v>0</v>
      </c>
    </row>
    <row r="437" spans="2:2" x14ac:dyDescent="0.35">
      <c r="B437">
        <f>books!B627</f>
        <v>0</v>
      </c>
    </row>
    <row r="438" spans="2:2" x14ac:dyDescent="0.35">
      <c r="B438">
        <f>books!B628</f>
        <v>0</v>
      </c>
    </row>
    <row r="439" spans="2:2" x14ac:dyDescent="0.35">
      <c r="B439">
        <f>books!B629</f>
        <v>0</v>
      </c>
    </row>
    <row r="440" spans="2:2" x14ac:dyDescent="0.35">
      <c r="B440">
        <f>books!B630</f>
        <v>0</v>
      </c>
    </row>
    <row r="441" spans="2:2" x14ac:dyDescent="0.35">
      <c r="B441">
        <f>books!B631</f>
        <v>0</v>
      </c>
    </row>
    <row r="442" spans="2:2" x14ac:dyDescent="0.35">
      <c r="B442">
        <f>books!B632</f>
        <v>0</v>
      </c>
    </row>
    <row r="443" spans="2:2" x14ac:dyDescent="0.35">
      <c r="B443">
        <f>books!B633</f>
        <v>0</v>
      </c>
    </row>
    <row r="444" spans="2:2" x14ac:dyDescent="0.35">
      <c r="B444">
        <f>books!B634</f>
        <v>0</v>
      </c>
    </row>
    <row r="445" spans="2:2" x14ac:dyDescent="0.35">
      <c r="B445">
        <f>books!B635</f>
        <v>0</v>
      </c>
    </row>
    <row r="446" spans="2:2" x14ac:dyDescent="0.35">
      <c r="B446">
        <f>books!B636</f>
        <v>0</v>
      </c>
    </row>
    <row r="447" spans="2:2" x14ac:dyDescent="0.35">
      <c r="B447">
        <f>books!B637</f>
        <v>0</v>
      </c>
    </row>
    <row r="448" spans="2:2" x14ac:dyDescent="0.35">
      <c r="B448">
        <f>books!B638</f>
        <v>0</v>
      </c>
    </row>
    <row r="449" spans="2:2" x14ac:dyDescent="0.35">
      <c r="B449">
        <f>books!B639</f>
        <v>0</v>
      </c>
    </row>
    <row r="450" spans="2:2" x14ac:dyDescent="0.35">
      <c r="B450">
        <f>books!B640</f>
        <v>0</v>
      </c>
    </row>
    <row r="451" spans="2:2" x14ac:dyDescent="0.35">
      <c r="B451">
        <f>books!B641</f>
        <v>0</v>
      </c>
    </row>
    <row r="452" spans="2:2" x14ac:dyDescent="0.35">
      <c r="B452">
        <f>books!B642</f>
        <v>0</v>
      </c>
    </row>
    <row r="453" spans="2:2" x14ac:dyDescent="0.35">
      <c r="B453">
        <f>books!B643</f>
        <v>0</v>
      </c>
    </row>
    <row r="454" spans="2:2" x14ac:dyDescent="0.35">
      <c r="B454">
        <f>books!B644</f>
        <v>0</v>
      </c>
    </row>
    <row r="455" spans="2:2" x14ac:dyDescent="0.35">
      <c r="B455">
        <f>books!B645</f>
        <v>0</v>
      </c>
    </row>
    <row r="456" spans="2:2" x14ac:dyDescent="0.35">
      <c r="B456">
        <f>books!B646</f>
        <v>0</v>
      </c>
    </row>
    <row r="457" spans="2:2" x14ac:dyDescent="0.35">
      <c r="B457">
        <f>books!B647</f>
        <v>0</v>
      </c>
    </row>
    <row r="458" spans="2:2" x14ac:dyDescent="0.35">
      <c r="B458">
        <f>books!B648</f>
        <v>0</v>
      </c>
    </row>
    <row r="459" spans="2:2" x14ac:dyDescent="0.35">
      <c r="B459">
        <f>books!B649</f>
        <v>0</v>
      </c>
    </row>
    <row r="460" spans="2:2" x14ac:dyDescent="0.35">
      <c r="B460">
        <f>books!B650</f>
        <v>0</v>
      </c>
    </row>
    <row r="461" spans="2:2" x14ac:dyDescent="0.35">
      <c r="B461">
        <f>books!B651</f>
        <v>0</v>
      </c>
    </row>
    <row r="462" spans="2:2" x14ac:dyDescent="0.35">
      <c r="B462">
        <f>books!B652</f>
        <v>0</v>
      </c>
    </row>
    <row r="463" spans="2:2" x14ac:dyDescent="0.35">
      <c r="B463">
        <f>books!B653</f>
        <v>0</v>
      </c>
    </row>
    <row r="464" spans="2:2" x14ac:dyDescent="0.35">
      <c r="B464">
        <f>books!B654</f>
        <v>0</v>
      </c>
    </row>
    <row r="465" spans="2:2" x14ac:dyDescent="0.35">
      <c r="B465">
        <f>books!B655</f>
        <v>0</v>
      </c>
    </row>
    <row r="466" spans="2:2" x14ac:dyDescent="0.35">
      <c r="B466">
        <f>books!B656</f>
        <v>0</v>
      </c>
    </row>
    <row r="467" spans="2:2" x14ac:dyDescent="0.35">
      <c r="B467">
        <f>books!B657</f>
        <v>0</v>
      </c>
    </row>
    <row r="468" spans="2:2" x14ac:dyDescent="0.35">
      <c r="B468">
        <f>books!B658</f>
        <v>0</v>
      </c>
    </row>
    <row r="469" spans="2:2" x14ac:dyDescent="0.35">
      <c r="B469">
        <f>books!B659</f>
        <v>0</v>
      </c>
    </row>
    <row r="470" spans="2:2" x14ac:dyDescent="0.35">
      <c r="B470">
        <f>books!B660</f>
        <v>0</v>
      </c>
    </row>
    <row r="471" spans="2:2" x14ac:dyDescent="0.35">
      <c r="B471">
        <f>books!B661</f>
        <v>0</v>
      </c>
    </row>
    <row r="472" spans="2:2" x14ac:dyDescent="0.35">
      <c r="B472">
        <f>books!B662</f>
        <v>0</v>
      </c>
    </row>
    <row r="473" spans="2:2" x14ac:dyDescent="0.35">
      <c r="B473">
        <f>books!B663</f>
        <v>0</v>
      </c>
    </row>
    <row r="474" spans="2:2" x14ac:dyDescent="0.35">
      <c r="B474">
        <f>books!B664</f>
        <v>0</v>
      </c>
    </row>
    <row r="475" spans="2:2" x14ac:dyDescent="0.35">
      <c r="B475">
        <f>books!B665</f>
        <v>0</v>
      </c>
    </row>
    <row r="476" spans="2:2" x14ac:dyDescent="0.35">
      <c r="B476">
        <f>books!B666</f>
        <v>0</v>
      </c>
    </row>
    <row r="477" spans="2:2" x14ac:dyDescent="0.35">
      <c r="B477">
        <f>books!B667</f>
        <v>0</v>
      </c>
    </row>
    <row r="478" spans="2:2" x14ac:dyDescent="0.35">
      <c r="B478">
        <f>books!B668</f>
        <v>0</v>
      </c>
    </row>
    <row r="479" spans="2:2" x14ac:dyDescent="0.35">
      <c r="B479">
        <f>books!B669</f>
        <v>0</v>
      </c>
    </row>
    <row r="480" spans="2:2" x14ac:dyDescent="0.35">
      <c r="B480">
        <f>books!B670</f>
        <v>0</v>
      </c>
    </row>
    <row r="481" spans="2:2" x14ac:dyDescent="0.35">
      <c r="B481">
        <f>books!B671</f>
        <v>0</v>
      </c>
    </row>
    <row r="482" spans="2:2" x14ac:dyDescent="0.35">
      <c r="B482">
        <f>books!B672</f>
        <v>0</v>
      </c>
    </row>
    <row r="483" spans="2:2" x14ac:dyDescent="0.35">
      <c r="B483">
        <f>books!B673</f>
        <v>0</v>
      </c>
    </row>
    <row r="484" spans="2:2" x14ac:dyDescent="0.35">
      <c r="B484">
        <f>books!B674</f>
        <v>0</v>
      </c>
    </row>
    <row r="485" spans="2:2" x14ac:dyDescent="0.35">
      <c r="B485">
        <f>books!B675</f>
        <v>0</v>
      </c>
    </row>
    <row r="486" spans="2:2" x14ac:dyDescent="0.35">
      <c r="B486">
        <f>books!B676</f>
        <v>0</v>
      </c>
    </row>
    <row r="487" spans="2:2" x14ac:dyDescent="0.35">
      <c r="B487">
        <f>books!B677</f>
        <v>0</v>
      </c>
    </row>
    <row r="488" spans="2:2" x14ac:dyDescent="0.35">
      <c r="B488">
        <f>books!B678</f>
        <v>0</v>
      </c>
    </row>
    <row r="489" spans="2:2" x14ac:dyDescent="0.35">
      <c r="B489">
        <f>books!B679</f>
        <v>0</v>
      </c>
    </row>
    <row r="490" spans="2:2" x14ac:dyDescent="0.35">
      <c r="B490">
        <f>books!B680</f>
        <v>0</v>
      </c>
    </row>
    <row r="491" spans="2:2" x14ac:dyDescent="0.35">
      <c r="B491">
        <f>books!B681</f>
        <v>0</v>
      </c>
    </row>
    <row r="492" spans="2:2" x14ac:dyDescent="0.35">
      <c r="B492">
        <f>books!B682</f>
        <v>0</v>
      </c>
    </row>
    <row r="493" spans="2:2" x14ac:dyDescent="0.35">
      <c r="B493">
        <f>books!B683</f>
        <v>0</v>
      </c>
    </row>
    <row r="494" spans="2:2" x14ac:dyDescent="0.35">
      <c r="B494">
        <f>books!B684</f>
        <v>0</v>
      </c>
    </row>
    <row r="495" spans="2:2" x14ac:dyDescent="0.35">
      <c r="B495">
        <f>books!B685</f>
        <v>0</v>
      </c>
    </row>
    <row r="496" spans="2:2" x14ac:dyDescent="0.35">
      <c r="B496">
        <f>books!B686</f>
        <v>0</v>
      </c>
    </row>
    <row r="497" spans="2:2" x14ac:dyDescent="0.35">
      <c r="B497">
        <f>books!B687</f>
        <v>0</v>
      </c>
    </row>
    <row r="498" spans="2:2" x14ac:dyDescent="0.35">
      <c r="B498">
        <f>books!B688</f>
        <v>0</v>
      </c>
    </row>
    <row r="499" spans="2:2" x14ac:dyDescent="0.35">
      <c r="B499">
        <f>books!B689</f>
        <v>0</v>
      </c>
    </row>
    <row r="500" spans="2:2" x14ac:dyDescent="0.35">
      <c r="B500">
        <f>books!B690</f>
        <v>0</v>
      </c>
    </row>
    <row r="501" spans="2:2" x14ac:dyDescent="0.35">
      <c r="B501">
        <f>books!B691</f>
        <v>0</v>
      </c>
    </row>
    <row r="502" spans="2:2" x14ac:dyDescent="0.35">
      <c r="B502">
        <f>books!B692</f>
        <v>0</v>
      </c>
    </row>
    <row r="503" spans="2:2" x14ac:dyDescent="0.35">
      <c r="B503">
        <f>books!B693</f>
        <v>0</v>
      </c>
    </row>
    <row r="504" spans="2:2" x14ac:dyDescent="0.35">
      <c r="B504">
        <f>books!B694</f>
        <v>0</v>
      </c>
    </row>
    <row r="505" spans="2:2" x14ac:dyDescent="0.35">
      <c r="B505">
        <f>books!B695</f>
        <v>0</v>
      </c>
    </row>
    <row r="506" spans="2:2" x14ac:dyDescent="0.35">
      <c r="B506">
        <f>books!B696</f>
        <v>0</v>
      </c>
    </row>
    <row r="507" spans="2:2" x14ac:dyDescent="0.35">
      <c r="B507">
        <f>books!B697</f>
        <v>0</v>
      </c>
    </row>
    <row r="508" spans="2:2" x14ac:dyDescent="0.35">
      <c r="B508">
        <f>books!B698</f>
        <v>0</v>
      </c>
    </row>
    <row r="509" spans="2:2" x14ac:dyDescent="0.35">
      <c r="B509">
        <f>books!B699</f>
        <v>0</v>
      </c>
    </row>
    <row r="510" spans="2:2" x14ac:dyDescent="0.35">
      <c r="B510">
        <f>books!B700</f>
        <v>0</v>
      </c>
    </row>
    <row r="511" spans="2:2" x14ac:dyDescent="0.35">
      <c r="B511">
        <f>books!B701</f>
        <v>0</v>
      </c>
    </row>
    <row r="512" spans="2:2" x14ac:dyDescent="0.35">
      <c r="B512">
        <f>books!B702</f>
        <v>0</v>
      </c>
    </row>
    <row r="513" spans="2:2" x14ac:dyDescent="0.35">
      <c r="B513">
        <f>books!B703</f>
        <v>0</v>
      </c>
    </row>
    <row r="514" spans="2:2" x14ac:dyDescent="0.35">
      <c r="B514">
        <f>books!B704</f>
        <v>0</v>
      </c>
    </row>
    <row r="515" spans="2:2" x14ac:dyDescent="0.35">
      <c r="B515">
        <f>books!B705</f>
        <v>0</v>
      </c>
    </row>
    <row r="516" spans="2:2" x14ac:dyDescent="0.35">
      <c r="B516">
        <f>books!B706</f>
        <v>0</v>
      </c>
    </row>
    <row r="517" spans="2:2" x14ac:dyDescent="0.35">
      <c r="B517">
        <f>books!B707</f>
        <v>0</v>
      </c>
    </row>
    <row r="518" spans="2:2" x14ac:dyDescent="0.35">
      <c r="B518">
        <f>books!B708</f>
        <v>0</v>
      </c>
    </row>
    <row r="519" spans="2:2" x14ac:dyDescent="0.35">
      <c r="B519">
        <f>books!B709</f>
        <v>0</v>
      </c>
    </row>
    <row r="520" spans="2:2" x14ac:dyDescent="0.35">
      <c r="B520">
        <f>books!B710</f>
        <v>0</v>
      </c>
    </row>
    <row r="521" spans="2:2" x14ac:dyDescent="0.35">
      <c r="B521">
        <f>books!B711</f>
        <v>0</v>
      </c>
    </row>
    <row r="522" spans="2:2" x14ac:dyDescent="0.35">
      <c r="B522">
        <f>books!B712</f>
        <v>0</v>
      </c>
    </row>
    <row r="523" spans="2:2" x14ac:dyDescent="0.35">
      <c r="B523">
        <f>books!B713</f>
        <v>0</v>
      </c>
    </row>
    <row r="524" spans="2:2" x14ac:dyDescent="0.35">
      <c r="B524">
        <f>books!B714</f>
        <v>0</v>
      </c>
    </row>
    <row r="525" spans="2:2" x14ac:dyDescent="0.35">
      <c r="B525">
        <f>books!B715</f>
        <v>0</v>
      </c>
    </row>
    <row r="526" spans="2:2" x14ac:dyDescent="0.35">
      <c r="B526">
        <f>books!B716</f>
        <v>0</v>
      </c>
    </row>
    <row r="527" spans="2:2" x14ac:dyDescent="0.35">
      <c r="B527">
        <f>books!B717</f>
        <v>0</v>
      </c>
    </row>
    <row r="528" spans="2:2" x14ac:dyDescent="0.35">
      <c r="B528">
        <f>books!B718</f>
        <v>0</v>
      </c>
    </row>
    <row r="529" spans="2:2" x14ac:dyDescent="0.35">
      <c r="B529">
        <f>books!B719</f>
        <v>0</v>
      </c>
    </row>
    <row r="530" spans="2:2" x14ac:dyDescent="0.35">
      <c r="B530">
        <f>books!B720</f>
        <v>0</v>
      </c>
    </row>
    <row r="531" spans="2:2" x14ac:dyDescent="0.35">
      <c r="B531">
        <f>books!B721</f>
        <v>0</v>
      </c>
    </row>
    <row r="532" spans="2:2" x14ac:dyDescent="0.35">
      <c r="B532">
        <f>books!B722</f>
        <v>0</v>
      </c>
    </row>
    <row r="533" spans="2:2" x14ac:dyDescent="0.35">
      <c r="B533">
        <f>books!B723</f>
        <v>0</v>
      </c>
    </row>
    <row r="534" spans="2:2" x14ac:dyDescent="0.35">
      <c r="B534">
        <f>books!B724</f>
        <v>0</v>
      </c>
    </row>
    <row r="535" spans="2:2" x14ac:dyDescent="0.35">
      <c r="B535">
        <f>books!B725</f>
        <v>0</v>
      </c>
    </row>
    <row r="536" spans="2:2" x14ac:dyDescent="0.35">
      <c r="B536">
        <f>books!B726</f>
        <v>0</v>
      </c>
    </row>
    <row r="537" spans="2:2" x14ac:dyDescent="0.35">
      <c r="B537">
        <f>books!B727</f>
        <v>0</v>
      </c>
    </row>
    <row r="538" spans="2:2" x14ac:dyDescent="0.35">
      <c r="B538">
        <f>books!B728</f>
        <v>0</v>
      </c>
    </row>
    <row r="539" spans="2:2" x14ac:dyDescent="0.35">
      <c r="B539">
        <f>books!B729</f>
        <v>0</v>
      </c>
    </row>
    <row r="540" spans="2:2" x14ac:dyDescent="0.35">
      <c r="B540">
        <f>books!B730</f>
        <v>0</v>
      </c>
    </row>
    <row r="541" spans="2:2" x14ac:dyDescent="0.35">
      <c r="B541">
        <f>books!B731</f>
        <v>0</v>
      </c>
    </row>
    <row r="542" spans="2:2" x14ac:dyDescent="0.35">
      <c r="B542">
        <f>books!B732</f>
        <v>0</v>
      </c>
    </row>
    <row r="543" spans="2:2" x14ac:dyDescent="0.35">
      <c r="B543">
        <f>books!B733</f>
        <v>0</v>
      </c>
    </row>
    <row r="544" spans="2:2" x14ac:dyDescent="0.35">
      <c r="B544">
        <f>books!B734</f>
        <v>0</v>
      </c>
    </row>
    <row r="545" spans="2:2" x14ac:dyDescent="0.35">
      <c r="B545">
        <f>books!B735</f>
        <v>0</v>
      </c>
    </row>
    <row r="546" spans="2:2" x14ac:dyDescent="0.35">
      <c r="B546">
        <f>books!B736</f>
        <v>0</v>
      </c>
    </row>
    <row r="547" spans="2:2" x14ac:dyDescent="0.35">
      <c r="B547">
        <f>books!B737</f>
        <v>0</v>
      </c>
    </row>
    <row r="548" spans="2:2" x14ac:dyDescent="0.35">
      <c r="B548">
        <f>books!B738</f>
        <v>0</v>
      </c>
    </row>
    <row r="549" spans="2:2" x14ac:dyDescent="0.35">
      <c r="B549">
        <f>books!B739</f>
        <v>0</v>
      </c>
    </row>
    <row r="550" spans="2:2" x14ac:dyDescent="0.35">
      <c r="B550">
        <f>books!B740</f>
        <v>0</v>
      </c>
    </row>
    <row r="551" spans="2:2" x14ac:dyDescent="0.35">
      <c r="B551">
        <f>books!B741</f>
        <v>0</v>
      </c>
    </row>
    <row r="552" spans="2:2" x14ac:dyDescent="0.35">
      <c r="B552">
        <f>books!B742</f>
        <v>0</v>
      </c>
    </row>
    <row r="553" spans="2:2" x14ac:dyDescent="0.35">
      <c r="B553">
        <f>books!B743</f>
        <v>0</v>
      </c>
    </row>
    <row r="554" spans="2:2" x14ac:dyDescent="0.35">
      <c r="B554">
        <f>books!B744</f>
        <v>0</v>
      </c>
    </row>
    <row r="555" spans="2:2" x14ac:dyDescent="0.35">
      <c r="B555">
        <f>books!B745</f>
        <v>0</v>
      </c>
    </row>
    <row r="556" spans="2:2" x14ac:dyDescent="0.35">
      <c r="B556">
        <f>books!B746</f>
        <v>0</v>
      </c>
    </row>
    <row r="557" spans="2:2" x14ac:dyDescent="0.35">
      <c r="B557">
        <f>books!B747</f>
        <v>0</v>
      </c>
    </row>
    <row r="558" spans="2:2" x14ac:dyDescent="0.35">
      <c r="B558">
        <f>books!B748</f>
        <v>0</v>
      </c>
    </row>
    <row r="559" spans="2:2" x14ac:dyDescent="0.35">
      <c r="B559">
        <f>books!B749</f>
        <v>0</v>
      </c>
    </row>
    <row r="560" spans="2:2" x14ac:dyDescent="0.35">
      <c r="B560">
        <f>books!B750</f>
        <v>0</v>
      </c>
    </row>
    <row r="561" spans="2:2" x14ac:dyDescent="0.35">
      <c r="B561">
        <f>books!B751</f>
        <v>0</v>
      </c>
    </row>
    <row r="562" spans="2:2" x14ac:dyDescent="0.35">
      <c r="B562">
        <f>books!B752</f>
        <v>0</v>
      </c>
    </row>
    <row r="563" spans="2:2" x14ac:dyDescent="0.35">
      <c r="B563">
        <f>books!B753</f>
        <v>0</v>
      </c>
    </row>
    <row r="564" spans="2:2" x14ac:dyDescent="0.35">
      <c r="B564">
        <f>books!B754</f>
        <v>0</v>
      </c>
    </row>
    <row r="565" spans="2:2" x14ac:dyDescent="0.35">
      <c r="B565">
        <f>books!B755</f>
        <v>0</v>
      </c>
    </row>
    <row r="566" spans="2:2" x14ac:dyDescent="0.35">
      <c r="B566">
        <f>books!B756</f>
        <v>0</v>
      </c>
    </row>
    <row r="567" spans="2:2" x14ac:dyDescent="0.35">
      <c r="B567">
        <f>books!B757</f>
        <v>0</v>
      </c>
    </row>
    <row r="568" spans="2:2" x14ac:dyDescent="0.35">
      <c r="B568">
        <f>books!B758</f>
        <v>0</v>
      </c>
    </row>
    <row r="569" spans="2:2" x14ac:dyDescent="0.35">
      <c r="B569">
        <f>books!B759</f>
        <v>0</v>
      </c>
    </row>
    <row r="570" spans="2:2" x14ac:dyDescent="0.35">
      <c r="B570">
        <f>books!B760</f>
        <v>0</v>
      </c>
    </row>
    <row r="571" spans="2:2" x14ac:dyDescent="0.35">
      <c r="B571">
        <f>books!B761</f>
        <v>0</v>
      </c>
    </row>
    <row r="572" spans="2:2" x14ac:dyDescent="0.35">
      <c r="B572">
        <f>books!B762</f>
        <v>0</v>
      </c>
    </row>
    <row r="573" spans="2:2" x14ac:dyDescent="0.35">
      <c r="B573">
        <f>books!B763</f>
        <v>0</v>
      </c>
    </row>
    <row r="574" spans="2:2" x14ac:dyDescent="0.35">
      <c r="B574">
        <f>books!B764</f>
        <v>0</v>
      </c>
    </row>
    <row r="575" spans="2:2" x14ac:dyDescent="0.35">
      <c r="B575">
        <f>books!B765</f>
        <v>0</v>
      </c>
    </row>
    <row r="576" spans="2:2" x14ac:dyDescent="0.35">
      <c r="B576">
        <f>books!B766</f>
        <v>0</v>
      </c>
    </row>
    <row r="577" spans="2:2" x14ac:dyDescent="0.35">
      <c r="B577">
        <f>books!B767</f>
        <v>0</v>
      </c>
    </row>
    <row r="578" spans="2:2" x14ac:dyDescent="0.35">
      <c r="B578">
        <f>books!B768</f>
        <v>0</v>
      </c>
    </row>
    <row r="579" spans="2:2" x14ac:dyDescent="0.35">
      <c r="B579">
        <f>books!B769</f>
        <v>0</v>
      </c>
    </row>
    <row r="580" spans="2:2" x14ac:dyDescent="0.35">
      <c r="B580">
        <f>books!B770</f>
        <v>0</v>
      </c>
    </row>
    <row r="581" spans="2:2" x14ac:dyDescent="0.35">
      <c r="B581">
        <f>books!B771</f>
        <v>0</v>
      </c>
    </row>
    <row r="582" spans="2:2" x14ac:dyDescent="0.35">
      <c r="B582">
        <f>books!B772</f>
        <v>0</v>
      </c>
    </row>
    <row r="583" spans="2:2" x14ac:dyDescent="0.35">
      <c r="B583">
        <f>books!B773</f>
        <v>0</v>
      </c>
    </row>
    <row r="584" spans="2:2" x14ac:dyDescent="0.35">
      <c r="B584">
        <f>books!B774</f>
        <v>0</v>
      </c>
    </row>
    <row r="585" spans="2:2" x14ac:dyDescent="0.35">
      <c r="B585">
        <f>books!B775</f>
        <v>0</v>
      </c>
    </row>
    <row r="586" spans="2:2" x14ac:dyDescent="0.35">
      <c r="B586">
        <f>books!B776</f>
        <v>0</v>
      </c>
    </row>
    <row r="587" spans="2:2" x14ac:dyDescent="0.35">
      <c r="B587">
        <f>books!B777</f>
        <v>0</v>
      </c>
    </row>
    <row r="588" spans="2:2" x14ac:dyDescent="0.35">
      <c r="B588">
        <f>books!B778</f>
        <v>0</v>
      </c>
    </row>
    <row r="589" spans="2:2" x14ac:dyDescent="0.35">
      <c r="B589">
        <f>books!B779</f>
        <v>0</v>
      </c>
    </row>
    <row r="590" spans="2:2" x14ac:dyDescent="0.35">
      <c r="B590">
        <f>books!B780</f>
        <v>0</v>
      </c>
    </row>
    <row r="591" spans="2:2" x14ac:dyDescent="0.35">
      <c r="B591">
        <f>books!B781</f>
        <v>0</v>
      </c>
    </row>
    <row r="592" spans="2:2" x14ac:dyDescent="0.35">
      <c r="B592">
        <f>books!B782</f>
        <v>0</v>
      </c>
    </row>
    <row r="593" spans="2:2" x14ac:dyDescent="0.35">
      <c r="B593">
        <f>books!B783</f>
        <v>0</v>
      </c>
    </row>
    <row r="594" spans="2:2" x14ac:dyDescent="0.35">
      <c r="B594">
        <f>books!B784</f>
        <v>0</v>
      </c>
    </row>
    <row r="595" spans="2:2" x14ac:dyDescent="0.35">
      <c r="B595">
        <f>books!B785</f>
        <v>0</v>
      </c>
    </row>
    <row r="596" spans="2:2" x14ac:dyDescent="0.35">
      <c r="B596">
        <f>books!B786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919A-4324-417D-A3D9-741681EC5497}">
  <sheetPr codeName="Sheet6"/>
  <dimension ref="A1:F1"/>
  <sheetViews>
    <sheetView tabSelected="1" workbookViewId="0"/>
  </sheetViews>
  <sheetFormatPr defaultRowHeight="14.5" x14ac:dyDescent="0.35"/>
  <sheetData>
    <row r="1" spans="1:6" x14ac:dyDescent="0.35">
      <c r="A1" t="s">
        <v>1787</v>
      </c>
      <c r="B1" t="s">
        <v>1788</v>
      </c>
      <c r="C1" t="s">
        <v>1789</v>
      </c>
      <c r="D1" t="s">
        <v>1789</v>
      </c>
      <c r="E1" t="s">
        <v>1789</v>
      </c>
      <c r="F1" t="s">
        <v>1789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368300</xdr:colOff>
                <xdr:row>4</xdr:row>
                <xdr:rowOff>31750</xdr:rowOff>
              </from>
              <to>
                <xdr:col>5</xdr:col>
                <xdr:colOff>590550</xdr:colOff>
                <xdr:row>6</xdr:row>
                <xdr:rowOff>69850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2F6215-F657-4BF9-814F-C88950F2F7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books</vt:lpstr>
      <vt:lpstr>Stats</vt:lpstr>
      <vt:lpstr>year</vt:lpstr>
      <vt:lpstr>rating</vt:lpstr>
      <vt:lpstr>notes</vt:lpstr>
      <vt:lpstr>sortable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Aahnix Bathurst</dc:creator>
  <cp:keywords/>
  <dc:description/>
  <cp:lastModifiedBy>Aahnix Bathurst</cp:lastModifiedBy>
  <cp:revision/>
  <dcterms:created xsi:type="dcterms:W3CDTF">2018-12-31T16:48:29Z</dcterms:created>
  <dcterms:modified xsi:type="dcterms:W3CDTF">2021-07-26T20:00:39Z</dcterms:modified>
  <cp:category/>
  <cp:contentStatus/>
</cp:coreProperties>
</file>